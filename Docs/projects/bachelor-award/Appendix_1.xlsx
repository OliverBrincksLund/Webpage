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Moerk/Downloads/"/>
    </mc:Choice>
  </mc:AlternateContent>
  <xr:revisionPtr revIDLastSave="4831" documentId="13_ncr:1_{C8A6F364-0320-8B49-85EE-B0F43D523BA2}" xr6:coauthVersionLast="48" xr6:coauthVersionMax="48" xr10:uidLastSave="{6065F0C1-7C24-4962-B263-850DA1F83A92}"/>
  <bookViews>
    <workbookView xWindow="8780" yWindow="2280" windowWidth="28760" windowHeight="16500" xr2:uid="{F1D83A11-0087-4F6A-BE78-5F69D717B698}"/>
  </bookViews>
  <sheets>
    <sheet name="A_Experiment_1" sheetId="1" r:id="rId1"/>
    <sheet name="B_Experiment_2" sheetId="2" r:id="rId2"/>
    <sheet name="C_Data_PowerPolarization_curve" sheetId="5" r:id="rId3"/>
    <sheet name="D_Calculation_electrode_area" sheetId="4" r:id="rId4"/>
    <sheet name="E_Barplots" sheetId="7" r:id="rId5"/>
    <sheet name="F_IPC_M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2" i="1"/>
  <c r="E3" i="5"/>
  <c r="F2" i="5"/>
  <c r="E2" i="5"/>
  <c r="Z5" i="1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6" i="2"/>
  <c r="P17" i="2"/>
  <c r="P18" i="2"/>
  <c r="P19" i="2"/>
  <c r="P20" i="2"/>
  <c r="P21" i="2"/>
  <c r="P22" i="2"/>
  <c r="P23" i="2"/>
  <c r="P24" i="2"/>
  <c r="P25" i="2"/>
  <c r="P15" i="2"/>
  <c r="P14" i="2"/>
  <c r="P4" i="2"/>
  <c r="P5" i="2"/>
  <c r="P6" i="2"/>
  <c r="P7" i="2"/>
  <c r="P8" i="2"/>
  <c r="P9" i="2"/>
  <c r="P10" i="2"/>
  <c r="P11" i="2"/>
  <c r="P12" i="2"/>
  <c r="P13" i="2"/>
  <c r="P3" i="2"/>
  <c r="P2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4" i="2"/>
  <c r="Q15" i="2"/>
  <c r="Q16" i="2"/>
  <c r="Q17" i="2"/>
  <c r="Q18" i="2"/>
  <c r="Q19" i="2"/>
  <c r="Q20" i="2"/>
  <c r="Q21" i="2"/>
  <c r="Q22" i="2"/>
  <c r="Q23" i="2"/>
  <c r="Q24" i="2"/>
  <c r="Q25" i="2"/>
  <c r="Q3" i="2"/>
  <c r="Q4" i="2"/>
  <c r="Q5" i="2"/>
  <c r="Q6" i="2"/>
  <c r="Q7" i="2"/>
  <c r="Q8" i="2"/>
  <c r="Q9" i="2"/>
  <c r="Q10" i="2"/>
  <c r="Q11" i="2"/>
  <c r="Q12" i="2"/>
  <c r="Q13" i="2"/>
  <c r="Q2" i="2"/>
  <c r="P2" i="1"/>
  <c r="R2" i="1"/>
  <c r="E30" i="5"/>
  <c r="T62" i="1"/>
  <c r="T63" i="1"/>
  <c r="T64" i="1"/>
  <c r="T65" i="1"/>
  <c r="T66" i="1"/>
  <c r="T67" i="1"/>
  <c r="U74" i="1"/>
  <c r="U75" i="1"/>
  <c r="U76" i="1"/>
  <c r="U119" i="1"/>
  <c r="U120" i="1"/>
  <c r="U121" i="1"/>
  <c r="U4" i="1"/>
  <c r="U5" i="1"/>
  <c r="U6" i="1"/>
  <c r="U7" i="1"/>
  <c r="U8" i="1"/>
  <c r="U9" i="1"/>
  <c r="U10" i="1"/>
  <c r="U11" i="1"/>
  <c r="U12" i="1"/>
  <c r="U13" i="1"/>
  <c r="U3" i="1"/>
  <c r="U2" i="1"/>
  <c r="F30" i="5"/>
  <c r="F34" i="5"/>
  <c r="F33" i="5"/>
  <c r="F32" i="5"/>
  <c r="F31" i="5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L118" i="1"/>
  <c r="U118" i="1" s="1"/>
  <c r="N19" i="1"/>
  <c r="O19" i="1" s="1"/>
  <c r="O2" i="1"/>
  <c r="H12" i="4"/>
  <c r="H19" i="4"/>
  <c r="H20" i="4" s="1"/>
  <c r="H21" i="4"/>
  <c r="M175" i="2"/>
  <c r="M174" i="2"/>
  <c r="M173" i="2"/>
  <c r="S3" i="2"/>
  <c r="S4" i="2"/>
  <c r="S5" i="2"/>
  <c r="S6" i="2"/>
  <c r="S7" i="2"/>
  <c r="S8" i="2"/>
  <c r="S9" i="2"/>
  <c r="S10" i="2"/>
  <c r="S11" i="2"/>
  <c r="S12" i="2"/>
  <c r="S13" i="2"/>
  <c r="R14" i="2"/>
  <c r="S14" i="2"/>
  <c r="T14" i="2"/>
  <c r="R15" i="2"/>
  <c r="S15" i="2"/>
  <c r="T15" i="2"/>
  <c r="R16" i="2"/>
  <c r="S16" i="2"/>
  <c r="T16" i="2"/>
  <c r="R17" i="2"/>
  <c r="S17" i="2"/>
  <c r="T17" i="2"/>
  <c r="R18" i="2"/>
  <c r="S18" i="2"/>
  <c r="T18" i="2"/>
  <c r="R19" i="2"/>
  <c r="S19" i="2"/>
  <c r="T19" i="2"/>
  <c r="R20" i="2"/>
  <c r="S20" i="2"/>
  <c r="T20" i="2"/>
  <c r="R21" i="2"/>
  <c r="S21" i="2"/>
  <c r="T21" i="2"/>
  <c r="R22" i="2"/>
  <c r="S22" i="2"/>
  <c r="T22" i="2"/>
  <c r="R23" i="2"/>
  <c r="S23" i="2"/>
  <c r="T23" i="2"/>
  <c r="R24" i="2"/>
  <c r="S24" i="2"/>
  <c r="T24" i="2"/>
  <c r="R25" i="2"/>
  <c r="S25" i="2"/>
  <c r="T25" i="2"/>
  <c r="R26" i="2"/>
  <c r="S26" i="2"/>
  <c r="T26" i="2"/>
  <c r="R27" i="2"/>
  <c r="S27" i="2"/>
  <c r="T27" i="2"/>
  <c r="R28" i="2"/>
  <c r="S28" i="2"/>
  <c r="T28" i="2"/>
  <c r="R29" i="2"/>
  <c r="S29" i="2"/>
  <c r="T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R35" i="2"/>
  <c r="S35" i="2"/>
  <c r="T35" i="2"/>
  <c r="R36" i="2"/>
  <c r="S36" i="2"/>
  <c r="T36" i="2"/>
  <c r="R37" i="2"/>
  <c r="S37" i="2"/>
  <c r="T37" i="2"/>
  <c r="R38" i="2"/>
  <c r="S38" i="2"/>
  <c r="T38" i="2"/>
  <c r="R39" i="2"/>
  <c r="S39" i="2"/>
  <c r="T39" i="2"/>
  <c r="R40" i="2"/>
  <c r="S40" i="2"/>
  <c r="T40" i="2"/>
  <c r="R41" i="2"/>
  <c r="S41" i="2"/>
  <c r="T41" i="2"/>
  <c r="R42" i="2"/>
  <c r="S42" i="2"/>
  <c r="T42" i="2"/>
  <c r="R43" i="2"/>
  <c r="S43" i="2"/>
  <c r="T43" i="2"/>
  <c r="R44" i="2"/>
  <c r="S44" i="2"/>
  <c r="T44" i="2"/>
  <c r="R45" i="2"/>
  <c r="S45" i="2"/>
  <c r="T45" i="2"/>
  <c r="R46" i="2"/>
  <c r="S46" i="2"/>
  <c r="T46" i="2"/>
  <c r="R47" i="2"/>
  <c r="S47" i="2"/>
  <c r="T47" i="2"/>
  <c r="R48" i="2"/>
  <c r="S48" i="2"/>
  <c r="T48" i="2"/>
  <c r="R49" i="2"/>
  <c r="S49" i="2"/>
  <c r="T49" i="2"/>
  <c r="S50" i="2"/>
  <c r="S51" i="2"/>
  <c r="S52" i="2"/>
  <c r="S53" i="2"/>
  <c r="S54" i="2"/>
  <c r="S55" i="2"/>
  <c r="S56" i="2"/>
  <c r="S57" i="2"/>
  <c r="S58" i="2"/>
  <c r="S59" i="2"/>
  <c r="S60" i="2"/>
  <c r="S61" i="2"/>
  <c r="R62" i="2"/>
  <c r="S62" i="2"/>
  <c r="T62" i="2"/>
  <c r="R63" i="2"/>
  <c r="S63" i="2"/>
  <c r="T63" i="2"/>
  <c r="R64" i="2"/>
  <c r="S64" i="2"/>
  <c r="T64" i="2"/>
  <c r="R65" i="2"/>
  <c r="S65" i="2"/>
  <c r="T65" i="2"/>
  <c r="R66" i="2"/>
  <c r="S66" i="2"/>
  <c r="T66" i="2"/>
  <c r="R67" i="2"/>
  <c r="S67" i="2"/>
  <c r="T67" i="2"/>
  <c r="R68" i="2"/>
  <c r="S68" i="2"/>
  <c r="T68" i="2"/>
  <c r="R69" i="2"/>
  <c r="S69" i="2"/>
  <c r="T69" i="2"/>
  <c r="R70" i="2"/>
  <c r="S70" i="2"/>
  <c r="T70" i="2"/>
  <c r="R71" i="2"/>
  <c r="S71" i="2"/>
  <c r="T71" i="2"/>
  <c r="R72" i="2"/>
  <c r="S72" i="2"/>
  <c r="T72" i="2"/>
  <c r="R73" i="2"/>
  <c r="S73" i="2"/>
  <c r="T73" i="2"/>
  <c r="R74" i="2"/>
  <c r="S74" i="2"/>
  <c r="T74" i="2"/>
  <c r="R75" i="2"/>
  <c r="S75" i="2"/>
  <c r="T75" i="2"/>
  <c r="R76" i="2"/>
  <c r="S76" i="2"/>
  <c r="T76" i="2"/>
  <c r="R77" i="2"/>
  <c r="S77" i="2"/>
  <c r="T77" i="2"/>
  <c r="R78" i="2"/>
  <c r="S78" i="2"/>
  <c r="T78" i="2"/>
  <c r="R79" i="2"/>
  <c r="S79" i="2"/>
  <c r="T79" i="2"/>
  <c r="R80" i="2"/>
  <c r="S80" i="2"/>
  <c r="T80" i="2"/>
  <c r="R81" i="2"/>
  <c r="S81" i="2"/>
  <c r="T81" i="2"/>
  <c r="R82" i="2"/>
  <c r="S82" i="2"/>
  <c r="T82" i="2"/>
  <c r="R83" i="2"/>
  <c r="S83" i="2"/>
  <c r="T83" i="2"/>
  <c r="R84" i="2"/>
  <c r="S84" i="2"/>
  <c r="T84" i="2"/>
  <c r="R85" i="2"/>
  <c r="S85" i="2"/>
  <c r="T85" i="2"/>
  <c r="S86" i="2"/>
  <c r="S87" i="2"/>
  <c r="S88" i="2"/>
  <c r="S89" i="2"/>
  <c r="S90" i="2"/>
  <c r="S91" i="2"/>
  <c r="S92" i="2"/>
  <c r="S93" i="2"/>
  <c r="S94" i="2"/>
  <c r="S95" i="2"/>
  <c r="S96" i="2"/>
  <c r="S97" i="2"/>
  <c r="R98" i="2"/>
  <c r="S98" i="2"/>
  <c r="T98" i="2"/>
  <c r="R99" i="2"/>
  <c r="S99" i="2"/>
  <c r="T99" i="2"/>
  <c r="R100" i="2"/>
  <c r="S100" i="2"/>
  <c r="T100" i="2"/>
  <c r="R101" i="2"/>
  <c r="S101" i="2"/>
  <c r="T101" i="2"/>
  <c r="R102" i="2"/>
  <c r="S102" i="2"/>
  <c r="T102" i="2"/>
  <c r="R103" i="2"/>
  <c r="S103" i="2"/>
  <c r="T103" i="2"/>
  <c r="R104" i="2"/>
  <c r="S104" i="2"/>
  <c r="T104" i="2"/>
  <c r="R105" i="2"/>
  <c r="S105" i="2"/>
  <c r="T105" i="2"/>
  <c r="R106" i="2"/>
  <c r="S106" i="2"/>
  <c r="T106" i="2"/>
  <c r="R107" i="2"/>
  <c r="S107" i="2"/>
  <c r="T107" i="2"/>
  <c r="R108" i="2"/>
  <c r="S108" i="2"/>
  <c r="T108" i="2"/>
  <c r="R109" i="2"/>
  <c r="S109" i="2"/>
  <c r="T109" i="2"/>
  <c r="R110" i="2"/>
  <c r="S110" i="2"/>
  <c r="T110" i="2"/>
  <c r="R111" i="2"/>
  <c r="S111" i="2"/>
  <c r="T111" i="2"/>
  <c r="R112" i="2"/>
  <c r="S112" i="2"/>
  <c r="T112" i="2"/>
  <c r="R113" i="2"/>
  <c r="S113" i="2"/>
  <c r="T113" i="2"/>
  <c r="R114" i="2"/>
  <c r="S114" i="2"/>
  <c r="T114" i="2"/>
  <c r="R115" i="2"/>
  <c r="S115" i="2"/>
  <c r="T115" i="2"/>
  <c r="R116" i="2"/>
  <c r="S116" i="2"/>
  <c r="T116" i="2"/>
  <c r="R117" i="2"/>
  <c r="S117" i="2"/>
  <c r="T117" i="2"/>
  <c r="R118" i="2"/>
  <c r="S118" i="2"/>
  <c r="T118" i="2"/>
  <c r="R119" i="2"/>
  <c r="S119" i="2"/>
  <c r="T119" i="2"/>
  <c r="R120" i="2"/>
  <c r="S120" i="2"/>
  <c r="T120" i="2"/>
  <c r="R121" i="2"/>
  <c r="S121" i="2"/>
  <c r="T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R134" i="2"/>
  <c r="S134" i="2"/>
  <c r="T134" i="2"/>
  <c r="R135" i="2"/>
  <c r="S135" i="2"/>
  <c r="T135" i="2"/>
  <c r="R136" i="2"/>
  <c r="S136" i="2"/>
  <c r="T136" i="2"/>
  <c r="R137" i="2"/>
  <c r="S137" i="2"/>
  <c r="T137" i="2"/>
  <c r="R138" i="2"/>
  <c r="S138" i="2"/>
  <c r="T138" i="2"/>
  <c r="R139" i="2"/>
  <c r="S139" i="2"/>
  <c r="T139" i="2"/>
  <c r="R140" i="2"/>
  <c r="S140" i="2"/>
  <c r="T140" i="2"/>
  <c r="R141" i="2"/>
  <c r="S141" i="2"/>
  <c r="T141" i="2"/>
  <c r="R142" i="2"/>
  <c r="S142" i="2"/>
  <c r="T142" i="2"/>
  <c r="R143" i="2"/>
  <c r="S143" i="2"/>
  <c r="T143" i="2"/>
  <c r="R144" i="2"/>
  <c r="S144" i="2"/>
  <c r="T144" i="2"/>
  <c r="R145" i="2"/>
  <c r="S145" i="2"/>
  <c r="T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R181" i="2"/>
  <c r="S181" i="2"/>
  <c r="T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2" i="2"/>
  <c r="M170" i="2"/>
  <c r="N98" i="1"/>
  <c r="O98" i="1" s="1"/>
  <c r="O3" i="1"/>
  <c r="B19" i="4"/>
  <c r="K193" i="2"/>
  <c r="R193" i="2" s="1"/>
  <c r="T193" i="2" s="1"/>
  <c r="K192" i="2"/>
  <c r="R192" i="2" s="1"/>
  <c r="T192" i="2" s="1"/>
  <c r="K191" i="2"/>
  <c r="R191" i="2" s="1"/>
  <c r="T191" i="2" s="1"/>
  <c r="K190" i="2"/>
  <c r="R190" i="2" s="1"/>
  <c r="T190" i="2" s="1"/>
  <c r="K189" i="2"/>
  <c r="R189" i="2" s="1"/>
  <c r="T189" i="2" s="1"/>
  <c r="K188" i="2"/>
  <c r="R188" i="2" s="1"/>
  <c r="T188" i="2" s="1"/>
  <c r="K187" i="2"/>
  <c r="R187" i="2" s="1"/>
  <c r="T187" i="2" s="1"/>
  <c r="K186" i="2"/>
  <c r="R186" i="2" s="1"/>
  <c r="T186" i="2" s="1"/>
  <c r="K185" i="2"/>
  <c r="R185" i="2" s="1"/>
  <c r="T185" i="2" s="1"/>
  <c r="K183" i="2"/>
  <c r="R183" i="2" s="1"/>
  <c r="T183" i="2" s="1"/>
  <c r="K184" i="2"/>
  <c r="R184" i="2" s="1"/>
  <c r="T184" i="2" s="1"/>
  <c r="K182" i="2"/>
  <c r="R182" i="2" s="1"/>
  <c r="T182" i="2" s="1"/>
  <c r="N287" i="1"/>
  <c r="O287" i="1" s="1"/>
  <c r="P287" i="1"/>
  <c r="N288" i="1"/>
  <c r="O288" i="1" s="1"/>
  <c r="P288" i="1"/>
  <c r="N289" i="1"/>
  <c r="O289" i="1" s="1"/>
  <c r="P289" i="1"/>
  <c r="N290" i="1"/>
  <c r="O290" i="1" s="1"/>
  <c r="P290" i="1"/>
  <c r="N291" i="1"/>
  <c r="O291" i="1" s="1"/>
  <c r="P291" i="1"/>
  <c r="N292" i="1"/>
  <c r="O292" i="1" s="1"/>
  <c r="P292" i="1"/>
  <c r="N293" i="1"/>
  <c r="O293" i="1" s="1"/>
  <c r="P293" i="1"/>
  <c r="N294" i="1"/>
  <c r="O294" i="1" s="1"/>
  <c r="P294" i="1"/>
  <c r="N295" i="1"/>
  <c r="O295" i="1" s="1"/>
  <c r="P295" i="1"/>
  <c r="N299" i="1"/>
  <c r="O299" i="1" s="1"/>
  <c r="P299" i="1"/>
  <c r="N300" i="1"/>
  <c r="O300" i="1" s="1"/>
  <c r="P300" i="1"/>
  <c r="N301" i="1"/>
  <c r="O301" i="1" s="1"/>
  <c r="P301" i="1"/>
  <c r="M182" i="2"/>
  <c r="N182" i="2"/>
  <c r="O182" i="2"/>
  <c r="M183" i="2"/>
  <c r="N183" i="2"/>
  <c r="O183" i="2"/>
  <c r="M184" i="2"/>
  <c r="N184" i="2"/>
  <c r="O184" i="2"/>
  <c r="M185" i="2"/>
  <c r="N185" i="2"/>
  <c r="O185" i="2"/>
  <c r="M186" i="2"/>
  <c r="N186" i="2"/>
  <c r="O186" i="2"/>
  <c r="M187" i="2"/>
  <c r="N187" i="2"/>
  <c r="O187" i="2"/>
  <c r="M188" i="2"/>
  <c r="N188" i="2"/>
  <c r="O188" i="2"/>
  <c r="M189" i="2"/>
  <c r="N189" i="2"/>
  <c r="O189" i="2"/>
  <c r="M190" i="2"/>
  <c r="N190" i="2"/>
  <c r="O190" i="2"/>
  <c r="M301" i="1"/>
  <c r="T301" i="1" s="1"/>
  <c r="M300" i="1"/>
  <c r="T300" i="1" s="1"/>
  <c r="M299" i="1"/>
  <c r="T299" i="1" s="1"/>
  <c r="M298" i="1"/>
  <c r="T298" i="1" s="1"/>
  <c r="M297" i="1"/>
  <c r="T297" i="1" s="1"/>
  <c r="M296" i="1"/>
  <c r="T296" i="1" s="1"/>
  <c r="M295" i="1"/>
  <c r="T295" i="1" s="1"/>
  <c r="M294" i="1"/>
  <c r="T294" i="1" s="1"/>
  <c r="M293" i="1"/>
  <c r="T293" i="1" s="1"/>
  <c r="M292" i="1"/>
  <c r="T292" i="1" s="1"/>
  <c r="M291" i="1"/>
  <c r="T291" i="1" s="1"/>
  <c r="M290" i="1"/>
  <c r="T290" i="1" s="1"/>
  <c r="M289" i="1"/>
  <c r="T289" i="1" s="1"/>
  <c r="M288" i="1"/>
  <c r="T288" i="1" s="1"/>
  <c r="M287" i="1"/>
  <c r="T287" i="1" s="1"/>
  <c r="L301" i="1"/>
  <c r="U301" i="1" s="1"/>
  <c r="L300" i="1"/>
  <c r="U300" i="1" s="1"/>
  <c r="L299" i="1"/>
  <c r="U299" i="1" s="1"/>
  <c r="L298" i="1"/>
  <c r="U298" i="1" s="1"/>
  <c r="L297" i="1"/>
  <c r="U297" i="1" s="1"/>
  <c r="L296" i="1"/>
  <c r="U296" i="1" s="1"/>
  <c r="L295" i="1"/>
  <c r="U295" i="1" s="1"/>
  <c r="L294" i="1"/>
  <c r="U294" i="1" s="1"/>
  <c r="L293" i="1"/>
  <c r="U293" i="1" s="1"/>
  <c r="L292" i="1"/>
  <c r="U292" i="1" s="1"/>
  <c r="L291" i="1"/>
  <c r="U291" i="1" s="1"/>
  <c r="L290" i="1"/>
  <c r="U290" i="1" s="1"/>
  <c r="L289" i="1"/>
  <c r="U289" i="1" s="1"/>
  <c r="L288" i="1"/>
  <c r="U288" i="1" s="1"/>
  <c r="L287" i="1"/>
  <c r="U287" i="1" s="1"/>
  <c r="D2" i="5"/>
  <c r="N272" i="1"/>
  <c r="O272" i="1" s="1"/>
  <c r="P272" i="1"/>
  <c r="N273" i="1"/>
  <c r="O273" i="1" s="1"/>
  <c r="P273" i="1"/>
  <c r="N274" i="1"/>
  <c r="O274" i="1" s="1"/>
  <c r="P274" i="1"/>
  <c r="N275" i="1"/>
  <c r="O275" i="1" s="1"/>
  <c r="P275" i="1"/>
  <c r="N276" i="1"/>
  <c r="O276" i="1" s="1"/>
  <c r="P276" i="1"/>
  <c r="N277" i="1"/>
  <c r="O277" i="1" s="1"/>
  <c r="P277" i="1"/>
  <c r="N278" i="1"/>
  <c r="O278" i="1" s="1"/>
  <c r="P278" i="1"/>
  <c r="N279" i="1"/>
  <c r="O279" i="1" s="1"/>
  <c r="P279" i="1"/>
  <c r="N280" i="1"/>
  <c r="O280" i="1" s="1"/>
  <c r="P280" i="1"/>
  <c r="N284" i="1"/>
  <c r="O284" i="1" s="1"/>
  <c r="P284" i="1"/>
  <c r="N285" i="1"/>
  <c r="O285" i="1" s="1"/>
  <c r="P285" i="1"/>
  <c r="N286" i="1"/>
  <c r="O286" i="1" s="1"/>
  <c r="P286" i="1"/>
  <c r="S13" i="1"/>
  <c r="S3" i="1"/>
  <c r="S4" i="1"/>
  <c r="S5" i="1"/>
  <c r="S6" i="1"/>
  <c r="S7" i="1"/>
  <c r="S8" i="1"/>
  <c r="S9" i="1"/>
  <c r="S10" i="1"/>
  <c r="S11" i="1"/>
  <c r="S12" i="1"/>
  <c r="S2" i="1"/>
  <c r="N257" i="1"/>
  <c r="O257" i="1" s="1"/>
  <c r="P257" i="1"/>
  <c r="N258" i="1"/>
  <c r="O258" i="1" s="1"/>
  <c r="P258" i="1"/>
  <c r="N259" i="1"/>
  <c r="O259" i="1" s="1"/>
  <c r="P259" i="1"/>
  <c r="N260" i="1"/>
  <c r="O260" i="1" s="1"/>
  <c r="P260" i="1"/>
  <c r="N261" i="1"/>
  <c r="O261" i="1" s="1"/>
  <c r="P261" i="1"/>
  <c r="N262" i="1"/>
  <c r="O262" i="1" s="1"/>
  <c r="P262" i="1"/>
  <c r="N263" i="1"/>
  <c r="O263" i="1" s="1"/>
  <c r="P263" i="1"/>
  <c r="N264" i="1"/>
  <c r="O264" i="1" s="1"/>
  <c r="P264" i="1"/>
  <c r="N265" i="1"/>
  <c r="O265" i="1" s="1"/>
  <c r="P265" i="1"/>
  <c r="N269" i="1"/>
  <c r="O269" i="1" s="1"/>
  <c r="P269" i="1"/>
  <c r="N270" i="1"/>
  <c r="O270" i="1" s="1"/>
  <c r="P270" i="1"/>
  <c r="N271" i="1"/>
  <c r="O271" i="1" s="1"/>
  <c r="P271" i="1"/>
  <c r="L244" i="1"/>
  <c r="U244" i="1" s="1"/>
  <c r="L242" i="1"/>
  <c r="U242" i="1" s="1"/>
  <c r="L243" i="1"/>
  <c r="U243" i="1" s="1"/>
  <c r="N248" i="1"/>
  <c r="O248" i="1" s="1"/>
  <c r="N244" i="1"/>
  <c r="O244" i="1" s="1"/>
  <c r="N243" i="1"/>
  <c r="O243" i="1" s="1"/>
  <c r="N242" i="1"/>
  <c r="O242" i="1" s="1"/>
  <c r="N239" i="1"/>
  <c r="O239" i="1" s="1"/>
  <c r="N240" i="1"/>
  <c r="O240" i="1" s="1"/>
  <c r="N241" i="1"/>
  <c r="O241" i="1" s="1"/>
  <c r="N233" i="1"/>
  <c r="O233" i="1" s="1"/>
  <c r="M171" i="2"/>
  <c r="M172" i="2"/>
  <c r="M176" i="2"/>
  <c r="M177" i="2"/>
  <c r="M178" i="2"/>
  <c r="N229" i="1"/>
  <c r="O229" i="1" s="1"/>
  <c r="M163" i="2"/>
  <c r="N228" i="1"/>
  <c r="O228" i="1" s="1"/>
  <c r="M162" i="2"/>
  <c r="N227" i="1"/>
  <c r="O227" i="1" s="1"/>
  <c r="M160" i="2"/>
  <c r="M158" i="2"/>
  <c r="M256" i="1"/>
  <c r="T256" i="1" s="1"/>
  <c r="M255" i="1"/>
  <c r="T255" i="1" s="1"/>
  <c r="M254" i="1"/>
  <c r="T254" i="1" s="1"/>
  <c r="M253" i="1"/>
  <c r="T253" i="1" s="1"/>
  <c r="M252" i="1"/>
  <c r="T252" i="1" s="1"/>
  <c r="M251" i="1"/>
  <c r="T251" i="1" s="1"/>
  <c r="M250" i="1"/>
  <c r="T250" i="1" s="1"/>
  <c r="M249" i="1"/>
  <c r="T249" i="1" s="1"/>
  <c r="M248" i="1"/>
  <c r="T248" i="1" s="1"/>
  <c r="M247" i="1"/>
  <c r="T247" i="1" s="1"/>
  <c r="M246" i="1"/>
  <c r="T246" i="1" s="1"/>
  <c r="P242" i="1"/>
  <c r="P243" i="1"/>
  <c r="P244" i="1"/>
  <c r="N245" i="1"/>
  <c r="O245" i="1" s="1"/>
  <c r="P245" i="1"/>
  <c r="N246" i="1"/>
  <c r="O246" i="1" s="1"/>
  <c r="P246" i="1"/>
  <c r="N247" i="1"/>
  <c r="O247" i="1" s="1"/>
  <c r="P247" i="1"/>
  <c r="P248" i="1"/>
  <c r="N249" i="1"/>
  <c r="O249" i="1" s="1"/>
  <c r="P249" i="1"/>
  <c r="N250" i="1"/>
  <c r="O250" i="1" s="1"/>
  <c r="P250" i="1"/>
  <c r="N254" i="1"/>
  <c r="O254" i="1" s="1"/>
  <c r="P254" i="1"/>
  <c r="N255" i="1"/>
  <c r="O255" i="1" s="1"/>
  <c r="P255" i="1"/>
  <c r="N256" i="1"/>
  <c r="O256" i="1" s="1"/>
  <c r="P256" i="1"/>
  <c r="M245" i="1"/>
  <c r="T245" i="1" s="1"/>
  <c r="M244" i="1"/>
  <c r="T244" i="1" s="1"/>
  <c r="M243" i="1"/>
  <c r="T243" i="1" s="1"/>
  <c r="M242" i="1"/>
  <c r="T242" i="1" s="1"/>
  <c r="L256" i="1"/>
  <c r="U256" i="1" s="1"/>
  <c r="L255" i="1"/>
  <c r="U255" i="1" s="1"/>
  <c r="L254" i="1"/>
  <c r="U254" i="1" s="1"/>
  <c r="L253" i="1"/>
  <c r="U253" i="1" s="1"/>
  <c r="L252" i="1"/>
  <c r="U252" i="1" s="1"/>
  <c r="L251" i="1"/>
  <c r="U251" i="1" s="1"/>
  <c r="L250" i="1"/>
  <c r="U250" i="1" s="1"/>
  <c r="L246" i="1"/>
  <c r="U246" i="1" s="1"/>
  <c r="L249" i="1"/>
  <c r="U249" i="1" s="1"/>
  <c r="L248" i="1"/>
  <c r="U248" i="1" s="1"/>
  <c r="L247" i="1"/>
  <c r="U247" i="1" s="1"/>
  <c r="L245" i="1"/>
  <c r="U245" i="1" s="1"/>
  <c r="K180" i="2"/>
  <c r="R180" i="2" s="1"/>
  <c r="T180" i="2" s="1"/>
  <c r="K179" i="2"/>
  <c r="R179" i="2" s="1"/>
  <c r="T179" i="2" s="1"/>
  <c r="K178" i="2"/>
  <c r="R178" i="2" s="1"/>
  <c r="T178" i="2" s="1"/>
  <c r="K177" i="2"/>
  <c r="R177" i="2" s="1"/>
  <c r="T177" i="2" s="1"/>
  <c r="K176" i="2"/>
  <c r="R176" i="2" s="1"/>
  <c r="T176" i="2" s="1"/>
  <c r="K175" i="2"/>
  <c r="R175" i="2" s="1"/>
  <c r="T175" i="2" s="1"/>
  <c r="K174" i="2"/>
  <c r="R174" i="2" s="1"/>
  <c r="T174" i="2" s="1"/>
  <c r="K173" i="2"/>
  <c r="R173" i="2" s="1"/>
  <c r="T173" i="2" s="1"/>
  <c r="K172" i="2"/>
  <c r="R172" i="2" s="1"/>
  <c r="T172" i="2" s="1"/>
  <c r="K171" i="2"/>
  <c r="R171" i="2" s="1"/>
  <c r="T171" i="2" s="1"/>
  <c r="K170" i="2"/>
  <c r="R170" i="2" s="1"/>
  <c r="T170" i="2" s="1"/>
  <c r="N178" i="2"/>
  <c r="O178" i="2" s="1"/>
  <c r="N177" i="2"/>
  <c r="O177" i="2" s="1"/>
  <c r="N176" i="2"/>
  <c r="O176" i="2" s="1"/>
  <c r="N175" i="2"/>
  <c r="O175" i="2" s="1"/>
  <c r="N174" i="2"/>
  <c r="O174" i="2" s="1"/>
  <c r="N173" i="2"/>
  <c r="O173" i="2" s="1"/>
  <c r="N172" i="2"/>
  <c r="O172" i="2" s="1"/>
  <c r="N171" i="2"/>
  <c r="O171" i="2" s="1"/>
  <c r="N170" i="2"/>
  <c r="O170" i="2" s="1"/>
  <c r="N158" i="2"/>
  <c r="O158" i="2"/>
  <c r="M159" i="2"/>
  <c r="N159" i="2"/>
  <c r="O159" i="2"/>
  <c r="N160" i="2"/>
  <c r="O160" i="2"/>
  <c r="M161" i="2"/>
  <c r="N161" i="2"/>
  <c r="O161" i="2"/>
  <c r="N162" i="2"/>
  <c r="O162" i="2"/>
  <c r="N163" i="2"/>
  <c r="O163" i="2"/>
  <c r="M164" i="2"/>
  <c r="N164" i="2"/>
  <c r="O164" i="2"/>
  <c r="M165" i="2"/>
  <c r="N165" i="2"/>
  <c r="O165" i="2"/>
  <c r="M166" i="2"/>
  <c r="N166" i="2"/>
  <c r="O166" i="2"/>
  <c r="K169" i="2"/>
  <c r="R169" i="2" s="1"/>
  <c r="T169" i="2" s="1"/>
  <c r="K168" i="2"/>
  <c r="R168" i="2" s="1"/>
  <c r="T168" i="2" s="1"/>
  <c r="K167" i="2"/>
  <c r="R167" i="2" s="1"/>
  <c r="T167" i="2" s="1"/>
  <c r="K166" i="2"/>
  <c r="R166" i="2" s="1"/>
  <c r="T166" i="2" s="1"/>
  <c r="K165" i="2"/>
  <c r="R165" i="2" s="1"/>
  <c r="T165" i="2" s="1"/>
  <c r="K164" i="2"/>
  <c r="R164" i="2" s="1"/>
  <c r="T164" i="2" s="1"/>
  <c r="K163" i="2"/>
  <c r="R163" i="2" s="1"/>
  <c r="T163" i="2" s="1"/>
  <c r="K162" i="2"/>
  <c r="R162" i="2" s="1"/>
  <c r="T162" i="2" s="1"/>
  <c r="K161" i="2"/>
  <c r="R161" i="2" s="1"/>
  <c r="T161" i="2" s="1"/>
  <c r="K160" i="2"/>
  <c r="R160" i="2" s="1"/>
  <c r="T160" i="2" s="1"/>
  <c r="K159" i="2"/>
  <c r="R159" i="2" s="1"/>
  <c r="T159" i="2" s="1"/>
  <c r="K158" i="2"/>
  <c r="R158" i="2" s="1"/>
  <c r="T158" i="2" s="1"/>
  <c r="P227" i="1"/>
  <c r="P228" i="1"/>
  <c r="P229" i="1"/>
  <c r="N230" i="1"/>
  <c r="O230" i="1" s="1"/>
  <c r="P230" i="1"/>
  <c r="N231" i="1"/>
  <c r="O231" i="1" s="1"/>
  <c r="P231" i="1"/>
  <c r="N232" i="1"/>
  <c r="O232" i="1" s="1"/>
  <c r="P232" i="1"/>
  <c r="P233" i="1"/>
  <c r="N234" i="1"/>
  <c r="O234" i="1" s="1"/>
  <c r="P234" i="1"/>
  <c r="N235" i="1"/>
  <c r="O235" i="1" s="1"/>
  <c r="P235" i="1"/>
  <c r="P239" i="1"/>
  <c r="P240" i="1"/>
  <c r="P241" i="1"/>
  <c r="M238" i="1"/>
  <c r="T238" i="1" s="1"/>
  <c r="M241" i="1"/>
  <c r="T241" i="1" s="1"/>
  <c r="M240" i="1"/>
  <c r="T240" i="1" s="1"/>
  <c r="M239" i="1"/>
  <c r="T239" i="1" s="1"/>
  <c r="M237" i="1"/>
  <c r="T237" i="1" s="1"/>
  <c r="M236" i="1"/>
  <c r="T236" i="1" s="1"/>
  <c r="M235" i="1"/>
  <c r="T235" i="1" s="1"/>
  <c r="M234" i="1"/>
  <c r="T234" i="1" s="1"/>
  <c r="M233" i="1"/>
  <c r="T233" i="1" s="1"/>
  <c r="M232" i="1"/>
  <c r="T232" i="1" s="1"/>
  <c r="M231" i="1"/>
  <c r="T231" i="1" s="1"/>
  <c r="M230" i="1"/>
  <c r="T230" i="1" s="1"/>
  <c r="M229" i="1"/>
  <c r="T229" i="1" s="1"/>
  <c r="M228" i="1"/>
  <c r="T228" i="1" s="1"/>
  <c r="M227" i="1"/>
  <c r="T227" i="1" s="1"/>
  <c r="L236" i="1"/>
  <c r="U236" i="1" s="1"/>
  <c r="L235" i="1"/>
  <c r="U235" i="1" s="1"/>
  <c r="L237" i="1"/>
  <c r="U237" i="1" s="1"/>
  <c r="L238" i="1"/>
  <c r="U238" i="1" s="1"/>
  <c r="L241" i="1"/>
  <c r="U241" i="1" s="1"/>
  <c r="L240" i="1"/>
  <c r="U240" i="1" s="1"/>
  <c r="L239" i="1"/>
  <c r="U239" i="1" s="1"/>
  <c r="L234" i="1"/>
  <c r="U234" i="1" s="1"/>
  <c r="L233" i="1"/>
  <c r="U233" i="1" s="1"/>
  <c r="L232" i="1"/>
  <c r="U232" i="1" s="1"/>
  <c r="L231" i="1"/>
  <c r="U231" i="1" s="1"/>
  <c r="L230" i="1"/>
  <c r="U230" i="1" s="1"/>
  <c r="L229" i="1"/>
  <c r="U229" i="1" s="1"/>
  <c r="L228" i="1"/>
  <c r="U228" i="1" s="1"/>
  <c r="L227" i="1"/>
  <c r="U227" i="1" s="1"/>
  <c r="D43" i="5"/>
  <c r="E43" i="5" s="1"/>
  <c r="F43" i="5" s="1"/>
  <c r="D42" i="5"/>
  <c r="E42" i="5" s="1"/>
  <c r="F42" i="5" s="1"/>
  <c r="D41" i="5"/>
  <c r="E41" i="5" s="1"/>
  <c r="F41" i="5" s="1"/>
  <c r="D40" i="5"/>
  <c r="E40" i="5" s="1"/>
  <c r="F40" i="5" s="1"/>
  <c r="D39" i="5"/>
  <c r="E39" i="5" s="1"/>
  <c r="F39" i="5" s="1"/>
  <c r="D38" i="5"/>
  <c r="E38" i="5" s="1"/>
  <c r="F38" i="5" s="1"/>
  <c r="D37" i="5"/>
  <c r="E37" i="5" s="1"/>
  <c r="F37" i="5" s="1"/>
  <c r="D36" i="5"/>
  <c r="E36" i="5" s="1"/>
  <c r="F36" i="5" s="1"/>
  <c r="D35" i="5"/>
  <c r="E35" i="5" s="1"/>
  <c r="F35" i="5" s="1"/>
  <c r="D34" i="5"/>
  <c r="E34" i="5" s="1"/>
  <c r="D33" i="5"/>
  <c r="E33" i="5" s="1"/>
  <c r="D32" i="5"/>
  <c r="E32" i="5" s="1"/>
  <c r="D31" i="5"/>
  <c r="E31" i="5" s="1"/>
  <c r="D30" i="5"/>
  <c r="D29" i="5"/>
  <c r="E29" i="5" s="1"/>
  <c r="F29" i="5" s="1"/>
  <c r="D28" i="5"/>
  <c r="E28" i="5" s="1"/>
  <c r="F28" i="5" s="1"/>
  <c r="D27" i="5"/>
  <c r="E27" i="5" s="1"/>
  <c r="F27" i="5" s="1"/>
  <c r="D26" i="5"/>
  <c r="E26" i="5" s="1"/>
  <c r="F26" i="5" s="1"/>
  <c r="D25" i="5"/>
  <c r="E25" i="5" s="1"/>
  <c r="F25" i="5" s="1"/>
  <c r="D24" i="5"/>
  <c r="E24" i="5" s="1"/>
  <c r="F24" i="5" s="1"/>
  <c r="D23" i="5"/>
  <c r="E23" i="5" s="1"/>
  <c r="F23" i="5" s="1"/>
  <c r="H22" i="4"/>
  <c r="H17" i="4"/>
  <c r="L197" i="1"/>
  <c r="U197" i="1" s="1"/>
  <c r="N212" i="1"/>
  <c r="O212" i="1" s="1"/>
  <c r="P212" i="1"/>
  <c r="N213" i="1"/>
  <c r="O213" i="1" s="1"/>
  <c r="P213" i="1"/>
  <c r="N214" i="1"/>
  <c r="O214" i="1" s="1"/>
  <c r="P214" i="1"/>
  <c r="N215" i="1"/>
  <c r="O215" i="1" s="1"/>
  <c r="P215" i="1"/>
  <c r="N216" i="1"/>
  <c r="O216" i="1" s="1"/>
  <c r="P216" i="1"/>
  <c r="N217" i="1"/>
  <c r="O217" i="1" s="1"/>
  <c r="P217" i="1"/>
  <c r="N218" i="1"/>
  <c r="O218" i="1" s="1"/>
  <c r="P218" i="1"/>
  <c r="N219" i="1"/>
  <c r="O219" i="1" s="1"/>
  <c r="P219" i="1"/>
  <c r="N220" i="1"/>
  <c r="O220" i="1" s="1"/>
  <c r="P220" i="1"/>
  <c r="N224" i="1"/>
  <c r="O224" i="1" s="1"/>
  <c r="P224" i="1"/>
  <c r="N225" i="1"/>
  <c r="O225" i="1" s="1"/>
  <c r="P225" i="1"/>
  <c r="N226" i="1"/>
  <c r="O226" i="1" s="1"/>
  <c r="P226" i="1"/>
  <c r="L211" i="1"/>
  <c r="U211" i="1" s="1"/>
  <c r="M146" i="2"/>
  <c r="N146" i="2"/>
  <c r="O146" i="2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/>
  <c r="O151" i="2"/>
  <c r="M152" i="2"/>
  <c r="N152" i="2"/>
  <c r="O152" i="2"/>
  <c r="M153" i="2"/>
  <c r="N153" i="2"/>
  <c r="O153" i="2"/>
  <c r="M154" i="2"/>
  <c r="N154" i="2"/>
  <c r="O154" i="2"/>
  <c r="K157" i="2"/>
  <c r="R157" i="2" s="1"/>
  <c r="T157" i="2" s="1"/>
  <c r="K156" i="2"/>
  <c r="R156" i="2" s="1"/>
  <c r="T156" i="2" s="1"/>
  <c r="K155" i="2"/>
  <c r="R155" i="2" s="1"/>
  <c r="T155" i="2" s="1"/>
  <c r="K154" i="2"/>
  <c r="R154" i="2" s="1"/>
  <c r="T154" i="2" s="1"/>
  <c r="K153" i="2"/>
  <c r="R153" i="2" s="1"/>
  <c r="T153" i="2" s="1"/>
  <c r="K152" i="2"/>
  <c r="R152" i="2" s="1"/>
  <c r="T152" i="2" s="1"/>
  <c r="K151" i="2"/>
  <c r="R151" i="2" s="1"/>
  <c r="T151" i="2" s="1"/>
  <c r="K150" i="2"/>
  <c r="R150" i="2" s="1"/>
  <c r="T150" i="2" s="1"/>
  <c r="K149" i="2"/>
  <c r="R149" i="2" s="1"/>
  <c r="T149" i="2" s="1"/>
  <c r="K148" i="2"/>
  <c r="R148" i="2" s="1"/>
  <c r="T148" i="2" s="1"/>
  <c r="K147" i="2"/>
  <c r="R147" i="2" s="1"/>
  <c r="T147" i="2" s="1"/>
  <c r="K146" i="2"/>
  <c r="R146" i="2" s="1"/>
  <c r="T146" i="2" s="1"/>
  <c r="N197" i="1"/>
  <c r="N198" i="1"/>
  <c r="O198" i="1" s="1"/>
  <c r="P198" i="1"/>
  <c r="N199" i="1"/>
  <c r="O199" i="1" s="1"/>
  <c r="P199" i="1"/>
  <c r="N200" i="1"/>
  <c r="O200" i="1" s="1"/>
  <c r="P200" i="1"/>
  <c r="N201" i="1"/>
  <c r="O201" i="1" s="1"/>
  <c r="P201" i="1"/>
  <c r="N202" i="1"/>
  <c r="O202" i="1" s="1"/>
  <c r="P202" i="1"/>
  <c r="N203" i="1"/>
  <c r="O203" i="1" s="1"/>
  <c r="P203" i="1"/>
  <c r="N204" i="1"/>
  <c r="O204" i="1" s="1"/>
  <c r="P204" i="1"/>
  <c r="N205" i="1"/>
  <c r="O205" i="1" s="1"/>
  <c r="P205" i="1"/>
  <c r="N209" i="1"/>
  <c r="O209" i="1" s="1"/>
  <c r="P209" i="1"/>
  <c r="N210" i="1"/>
  <c r="O210" i="1" s="1"/>
  <c r="P210" i="1"/>
  <c r="N211" i="1"/>
  <c r="O211" i="1" s="1"/>
  <c r="P211" i="1"/>
  <c r="M211" i="1"/>
  <c r="M210" i="1"/>
  <c r="T210" i="1" s="1"/>
  <c r="M209" i="1"/>
  <c r="T209" i="1" s="1"/>
  <c r="M208" i="1"/>
  <c r="T208" i="1" s="1"/>
  <c r="M207" i="1"/>
  <c r="T207" i="1" s="1"/>
  <c r="M206" i="1"/>
  <c r="T206" i="1" s="1"/>
  <c r="M205" i="1"/>
  <c r="T205" i="1" s="1"/>
  <c r="M204" i="1"/>
  <c r="T204" i="1" s="1"/>
  <c r="M203" i="1"/>
  <c r="T203" i="1" s="1"/>
  <c r="M202" i="1"/>
  <c r="T202" i="1" s="1"/>
  <c r="M201" i="1"/>
  <c r="T201" i="1" s="1"/>
  <c r="M200" i="1"/>
  <c r="T200" i="1" s="1"/>
  <c r="M199" i="1"/>
  <c r="T199" i="1" s="1"/>
  <c r="M198" i="1"/>
  <c r="T198" i="1" s="1"/>
  <c r="M197" i="1"/>
  <c r="T197" i="1" s="1"/>
  <c r="L210" i="1"/>
  <c r="U210" i="1" s="1"/>
  <c r="L209" i="1"/>
  <c r="U209" i="1" s="1"/>
  <c r="L208" i="1"/>
  <c r="U208" i="1" s="1"/>
  <c r="L207" i="1"/>
  <c r="U207" i="1" s="1"/>
  <c r="L206" i="1"/>
  <c r="U206" i="1" s="1"/>
  <c r="L205" i="1"/>
  <c r="U205" i="1" s="1"/>
  <c r="L204" i="1"/>
  <c r="U204" i="1" s="1"/>
  <c r="L203" i="1"/>
  <c r="U203" i="1" s="1"/>
  <c r="L202" i="1"/>
  <c r="U202" i="1" s="1"/>
  <c r="L201" i="1"/>
  <c r="U201" i="1" s="1"/>
  <c r="L200" i="1"/>
  <c r="U200" i="1" s="1"/>
  <c r="L199" i="1"/>
  <c r="U199" i="1" s="1"/>
  <c r="L198" i="1"/>
  <c r="U198" i="1" s="1"/>
  <c r="N182" i="1"/>
  <c r="O182" i="1" s="1"/>
  <c r="P182" i="1"/>
  <c r="N183" i="1"/>
  <c r="O183" i="1" s="1"/>
  <c r="P183" i="1"/>
  <c r="N184" i="1"/>
  <c r="O184" i="1" s="1"/>
  <c r="P184" i="1"/>
  <c r="N185" i="1"/>
  <c r="O185" i="1" s="1"/>
  <c r="P185" i="1"/>
  <c r="N186" i="1"/>
  <c r="O186" i="1" s="1"/>
  <c r="P186" i="1"/>
  <c r="N187" i="1"/>
  <c r="O187" i="1" s="1"/>
  <c r="P187" i="1"/>
  <c r="N188" i="1"/>
  <c r="O188" i="1" s="1"/>
  <c r="P188" i="1"/>
  <c r="N189" i="1"/>
  <c r="O189" i="1" s="1"/>
  <c r="P189" i="1"/>
  <c r="N190" i="1"/>
  <c r="O190" i="1" s="1"/>
  <c r="P190" i="1"/>
  <c r="N194" i="1"/>
  <c r="O194" i="1" s="1"/>
  <c r="P194" i="1"/>
  <c r="N195" i="1"/>
  <c r="O195" i="1" s="1"/>
  <c r="P195" i="1"/>
  <c r="N196" i="1"/>
  <c r="O196" i="1" s="1"/>
  <c r="P196" i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3" i="5"/>
  <c r="D4" i="5"/>
  <c r="D5" i="5"/>
  <c r="D6" i="5"/>
  <c r="D7" i="5"/>
  <c r="D8" i="5"/>
  <c r="D65" i="5"/>
  <c r="E65" i="5" s="1"/>
  <c r="F65" i="5" s="1"/>
  <c r="D66" i="5"/>
  <c r="E66" i="5" s="1"/>
  <c r="F66" i="5" s="1"/>
  <c r="D67" i="5"/>
  <c r="E67" i="5" s="1"/>
  <c r="F67" i="5" s="1"/>
  <c r="D68" i="5"/>
  <c r="E68" i="5" s="1"/>
  <c r="F68" i="5" s="1"/>
  <c r="D69" i="5"/>
  <c r="E69" i="5" s="1"/>
  <c r="F69" i="5" s="1"/>
  <c r="D70" i="5"/>
  <c r="E70" i="5" s="1"/>
  <c r="F70" i="5" s="1"/>
  <c r="D71" i="5"/>
  <c r="E71" i="5" s="1"/>
  <c r="F71" i="5" s="1"/>
  <c r="D72" i="5"/>
  <c r="E72" i="5" s="1"/>
  <c r="F72" i="5" s="1"/>
  <c r="D73" i="5"/>
  <c r="E73" i="5" s="1"/>
  <c r="F73" i="5" s="1"/>
  <c r="D74" i="5"/>
  <c r="E74" i="5" s="1"/>
  <c r="F74" i="5" s="1"/>
  <c r="D75" i="5"/>
  <c r="E75" i="5" s="1"/>
  <c r="F75" i="5" s="1"/>
  <c r="D76" i="5"/>
  <c r="E76" i="5" s="1"/>
  <c r="F76" i="5" s="1"/>
  <c r="D77" i="5"/>
  <c r="E77" i="5" s="1"/>
  <c r="F77" i="5" s="1"/>
  <c r="D78" i="5"/>
  <c r="E78" i="5" s="1"/>
  <c r="F78" i="5" s="1"/>
  <c r="D79" i="5"/>
  <c r="E79" i="5" s="1"/>
  <c r="F79" i="5" s="1"/>
  <c r="D80" i="5"/>
  <c r="E80" i="5" s="1"/>
  <c r="F80" i="5" s="1"/>
  <c r="D81" i="5"/>
  <c r="E81" i="5" s="1"/>
  <c r="F81" i="5" s="1"/>
  <c r="D82" i="5"/>
  <c r="F82" i="5" s="1"/>
  <c r="D83" i="5"/>
  <c r="E83" i="5" s="1"/>
  <c r="F83" i="5" s="1"/>
  <c r="D84" i="5"/>
  <c r="E84" i="5" s="1"/>
  <c r="F84" i="5" s="1"/>
  <c r="D85" i="5"/>
  <c r="E85" i="5" s="1"/>
  <c r="F85" i="5" s="1"/>
  <c r="D86" i="5"/>
  <c r="E86" i="5" s="1"/>
  <c r="F86" i="5" s="1"/>
  <c r="D87" i="5"/>
  <c r="E87" i="5" s="1"/>
  <c r="F87" i="5" s="1"/>
  <c r="D88" i="5"/>
  <c r="E88" i="5" s="1"/>
  <c r="F88" i="5" s="1"/>
  <c r="D89" i="5"/>
  <c r="E89" i="5" s="1"/>
  <c r="F89" i="5" s="1"/>
  <c r="D90" i="5"/>
  <c r="E90" i="5" s="1"/>
  <c r="F90" i="5" s="1"/>
  <c r="D91" i="5"/>
  <c r="E91" i="5" s="1"/>
  <c r="F91" i="5" s="1"/>
  <c r="D92" i="5"/>
  <c r="E92" i="5" s="1"/>
  <c r="F92" i="5" s="1"/>
  <c r="D93" i="5"/>
  <c r="E93" i="5" s="1"/>
  <c r="F93" i="5" s="1"/>
  <c r="D94" i="5"/>
  <c r="E94" i="5" s="1"/>
  <c r="F94" i="5" s="1"/>
  <c r="D95" i="5"/>
  <c r="E95" i="5" s="1"/>
  <c r="F95" i="5" s="1"/>
  <c r="D96" i="5"/>
  <c r="E96" i="5" s="1"/>
  <c r="F96" i="5" s="1"/>
  <c r="D97" i="5"/>
  <c r="E97" i="5" s="1"/>
  <c r="F97" i="5" s="1"/>
  <c r="D98" i="5"/>
  <c r="E98" i="5" s="1"/>
  <c r="F98" i="5" s="1"/>
  <c r="D99" i="5"/>
  <c r="E99" i="5" s="1"/>
  <c r="F99" i="5" s="1"/>
  <c r="D100" i="5"/>
  <c r="E100" i="5" s="1"/>
  <c r="F100" i="5" s="1"/>
  <c r="D101" i="5"/>
  <c r="E101" i="5" s="1"/>
  <c r="F101" i="5" s="1"/>
  <c r="D102" i="5"/>
  <c r="E102" i="5" s="1"/>
  <c r="F102" i="5" s="1"/>
  <c r="D103" i="5"/>
  <c r="E103" i="5" s="1"/>
  <c r="F103" i="5" s="1"/>
  <c r="D104" i="5"/>
  <c r="E104" i="5" s="1"/>
  <c r="F104" i="5" s="1"/>
  <c r="D105" i="5"/>
  <c r="E105" i="5" s="1"/>
  <c r="F105" i="5" s="1"/>
  <c r="D106" i="5"/>
  <c r="E106" i="5" s="1"/>
  <c r="F106" i="5" s="1"/>
  <c r="D59" i="5"/>
  <c r="E59" i="5" s="1"/>
  <c r="F59" i="5" s="1"/>
  <c r="D60" i="5"/>
  <c r="E60" i="5" s="1"/>
  <c r="F60" i="5" s="1"/>
  <c r="D61" i="5"/>
  <c r="E61" i="5" s="1"/>
  <c r="F61" i="5" s="1"/>
  <c r="D62" i="5"/>
  <c r="D63" i="5"/>
  <c r="E63" i="5" s="1"/>
  <c r="F63" i="5" s="1"/>
  <c r="D64" i="5"/>
  <c r="E64" i="5" s="1"/>
  <c r="F64" i="5" s="1"/>
  <c r="D58" i="5"/>
  <c r="E58" i="5" s="1"/>
  <c r="F58" i="5" s="1"/>
  <c r="N10" i="1"/>
  <c r="O10" i="1" s="1"/>
  <c r="M134" i="2"/>
  <c r="N134" i="2"/>
  <c r="O134" i="2" s="1"/>
  <c r="M135" i="2"/>
  <c r="N135" i="2"/>
  <c r="O135" i="2" s="1"/>
  <c r="M136" i="2"/>
  <c r="N136" i="2"/>
  <c r="O136" i="2" s="1"/>
  <c r="M137" i="2"/>
  <c r="N137" i="2"/>
  <c r="O137" i="2" s="1"/>
  <c r="M138" i="2"/>
  <c r="N138" i="2"/>
  <c r="O138" i="2" s="1"/>
  <c r="M139" i="2"/>
  <c r="N139" i="2"/>
  <c r="O139" i="2" s="1"/>
  <c r="M140" i="2"/>
  <c r="N140" i="2"/>
  <c r="O140" i="2" s="1"/>
  <c r="M141" i="2"/>
  <c r="N141" i="2"/>
  <c r="O141" i="2" s="1"/>
  <c r="M142" i="2"/>
  <c r="N142" i="2"/>
  <c r="O142" i="2" s="1"/>
  <c r="N167" i="1"/>
  <c r="O167" i="1" s="1"/>
  <c r="P167" i="1"/>
  <c r="N168" i="1"/>
  <c r="O168" i="1" s="1"/>
  <c r="P168" i="1"/>
  <c r="N169" i="1"/>
  <c r="O169" i="1" s="1"/>
  <c r="P169" i="1"/>
  <c r="N170" i="1"/>
  <c r="O170" i="1" s="1"/>
  <c r="P170" i="1"/>
  <c r="N171" i="1"/>
  <c r="O171" i="1" s="1"/>
  <c r="P171" i="1"/>
  <c r="N172" i="1"/>
  <c r="O172" i="1" s="1"/>
  <c r="P172" i="1"/>
  <c r="N173" i="1"/>
  <c r="O173" i="1" s="1"/>
  <c r="P173" i="1"/>
  <c r="N174" i="1"/>
  <c r="O174" i="1" s="1"/>
  <c r="P174" i="1"/>
  <c r="N175" i="1"/>
  <c r="O175" i="1" s="1"/>
  <c r="P175" i="1"/>
  <c r="N179" i="1"/>
  <c r="O179" i="1" s="1"/>
  <c r="P179" i="1"/>
  <c r="N180" i="1"/>
  <c r="O180" i="1" s="1"/>
  <c r="P180" i="1"/>
  <c r="N181" i="1"/>
  <c r="O181" i="1" s="1"/>
  <c r="P181" i="1"/>
  <c r="H15" i="4"/>
  <c r="H11" i="4"/>
  <c r="B11" i="4"/>
  <c r="B12" i="4" s="1"/>
  <c r="N164" i="1"/>
  <c r="O164" i="1" s="1"/>
  <c r="P164" i="1"/>
  <c r="N165" i="1"/>
  <c r="O165" i="1" s="1"/>
  <c r="P165" i="1"/>
  <c r="N166" i="1"/>
  <c r="O166" i="1" s="1"/>
  <c r="P166" i="1"/>
  <c r="N152" i="1"/>
  <c r="O152" i="1" s="1"/>
  <c r="P152" i="1"/>
  <c r="N153" i="1"/>
  <c r="O153" i="1" s="1"/>
  <c r="P153" i="1"/>
  <c r="N154" i="1"/>
  <c r="O154" i="1" s="1"/>
  <c r="P154" i="1"/>
  <c r="N155" i="1"/>
  <c r="O155" i="1" s="1"/>
  <c r="P155" i="1"/>
  <c r="N156" i="1"/>
  <c r="O156" i="1" s="1"/>
  <c r="P156" i="1"/>
  <c r="N157" i="1"/>
  <c r="O157" i="1" s="1"/>
  <c r="P157" i="1"/>
  <c r="N158" i="1"/>
  <c r="O158" i="1" s="1"/>
  <c r="P158" i="1"/>
  <c r="N159" i="1"/>
  <c r="O159" i="1" s="1"/>
  <c r="P159" i="1"/>
  <c r="N160" i="1"/>
  <c r="O160" i="1" s="1"/>
  <c r="P160" i="1"/>
  <c r="M166" i="1"/>
  <c r="T166" i="1" s="1"/>
  <c r="M165" i="1"/>
  <c r="T165" i="1" s="1"/>
  <c r="M164" i="1"/>
  <c r="T164" i="1" s="1"/>
  <c r="M163" i="1"/>
  <c r="T163" i="1" s="1"/>
  <c r="M162" i="1"/>
  <c r="T162" i="1" s="1"/>
  <c r="M161" i="1"/>
  <c r="T161" i="1" s="1"/>
  <c r="M160" i="1"/>
  <c r="T160" i="1" s="1"/>
  <c r="M159" i="1"/>
  <c r="T159" i="1" s="1"/>
  <c r="M158" i="1"/>
  <c r="T158" i="1" s="1"/>
  <c r="M157" i="1"/>
  <c r="T157" i="1" s="1"/>
  <c r="M156" i="1"/>
  <c r="T156" i="1" s="1"/>
  <c r="M154" i="1"/>
  <c r="T154" i="1" s="1"/>
  <c r="M155" i="1"/>
  <c r="T155" i="1" s="1"/>
  <c r="M153" i="1"/>
  <c r="T153" i="1" s="1"/>
  <c r="M152" i="1"/>
  <c r="T152" i="1" s="1"/>
  <c r="L166" i="1"/>
  <c r="U166" i="1" s="1"/>
  <c r="L165" i="1"/>
  <c r="U165" i="1" s="1"/>
  <c r="M122" i="2"/>
  <c r="N122" i="2"/>
  <c r="O122" i="2" s="1"/>
  <c r="M123" i="2"/>
  <c r="N123" i="2"/>
  <c r="O123" i="2" s="1"/>
  <c r="M124" i="2"/>
  <c r="N124" i="2"/>
  <c r="O124" i="2" s="1"/>
  <c r="M125" i="2"/>
  <c r="N125" i="2"/>
  <c r="O125" i="2" s="1"/>
  <c r="M126" i="2"/>
  <c r="N126" i="2"/>
  <c r="O126" i="2" s="1"/>
  <c r="M127" i="2"/>
  <c r="N127" i="2"/>
  <c r="O127" i="2" s="1"/>
  <c r="M128" i="2"/>
  <c r="N128" i="2"/>
  <c r="O128" i="2" s="1"/>
  <c r="M129" i="2"/>
  <c r="N129" i="2"/>
  <c r="O129" i="2" s="1"/>
  <c r="M130" i="2"/>
  <c r="N130" i="2"/>
  <c r="O130" i="2" s="1"/>
  <c r="L164" i="1"/>
  <c r="U164" i="1" s="1"/>
  <c r="L163" i="1"/>
  <c r="U163" i="1" s="1"/>
  <c r="L162" i="1"/>
  <c r="U162" i="1" s="1"/>
  <c r="L161" i="1"/>
  <c r="U161" i="1" s="1"/>
  <c r="L160" i="1"/>
  <c r="U160" i="1" s="1"/>
  <c r="L159" i="1"/>
  <c r="U159" i="1" s="1"/>
  <c r="L158" i="1"/>
  <c r="U158" i="1" s="1"/>
  <c r="L157" i="1"/>
  <c r="U157" i="1" s="1"/>
  <c r="L156" i="1"/>
  <c r="U156" i="1" s="1"/>
  <c r="L155" i="1"/>
  <c r="U155" i="1" s="1"/>
  <c r="K133" i="2"/>
  <c r="R133" i="2" s="1"/>
  <c r="T133" i="2" s="1"/>
  <c r="K132" i="2"/>
  <c r="R132" i="2" s="1"/>
  <c r="T132" i="2" s="1"/>
  <c r="K131" i="2"/>
  <c r="R131" i="2" s="1"/>
  <c r="T131" i="2" s="1"/>
  <c r="K130" i="2"/>
  <c r="R130" i="2" s="1"/>
  <c r="T130" i="2" s="1"/>
  <c r="L154" i="1"/>
  <c r="U154" i="1" s="1"/>
  <c r="K129" i="2"/>
  <c r="R129" i="2" s="1"/>
  <c r="T129" i="2" s="1"/>
  <c r="L153" i="1"/>
  <c r="U153" i="1" s="1"/>
  <c r="K128" i="2"/>
  <c r="R128" i="2" s="1"/>
  <c r="T128" i="2" s="1"/>
  <c r="L152" i="1"/>
  <c r="U152" i="1" s="1"/>
  <c r="K127" i="2"/>
  <c r="R127" i="2" s="1"/>
  <c r="T127" i="2" s="1"/>
  <c r="K126" i="2"/>
  <c r="R126" i="2" s="1"/>
  <c r="T126" i="2" s="1"/>
  <c r="K125" i="2"/>
  <c r="R125" i="2" s="1"/>
  <c r="T125" i="2" s="1"/>
  <c r="K123" i="2"/>
  <c r="R123" i="2" s="1"/>
  <c r="T123" i="2" s="1"/>
  <c r="K124" i="2"/>
  <c r="R124" i="2" s="1"/>
  <c r="T124" i="2" s="1"/>
  <c r="K122" i="2"/>
  <c r="R122" i="2" s="1"/>
  <c r="T122" i="2" s="1"/>
  <c r="I6" i="1"/>
  <c r="M110" i="2"/>
  <c r="N110" i="2"/>
  <c r="O110" i="2" s="1"/>
  <c r="M111" i="2"/>
  <c r="N111" i="2"/>
  <c r="O111" i="2" s="1"/>
  <c r="M112" i="2"/>
  <c r="N112" i="2"/>
  <c r="O112" i="2" s="1"/>
  <c r="M113" i="2"/>
  <c r="N113" i="2"/>
  <c r="O113" i="2" s="1"/>
  <c r="M114" i="2"/>
  <c r="N114" i="2"/>
  <c r="O114" i="2" s="1"/>
  <c r="M115" i="2"/>
  <c r="N115" i="2"/>
  <c r="O115" i="2" s="1"/>
  <c r="M116" i="2"/>
  <c r="N116" i="2"/>
  <c r="O116" i="2" s="1"/>
  <c r="M117" i="2"/>
  <c r="N117" i="2"/>
  <c r="O117" i="2" s="1"/>
  <c r="M118" i="2"/>
  <c r="N118" i="2"/>
  <c r="O118" i="2" s="1"/>
  <c r="N137" i="1"/>
  <c r="O137" i="1" s="1"/>
  <c r="P137" i="1"/>
  <c r="N138" i="1"/>
  <c r="O138" i="1" s="1"/>
  <c r="P138" i="1"/>
  <c r="N139" i="1"/>
  <c r="O139" i="1" s="1"/>
  <c r="P139" i="1"/>
  <c r="N140" i="1"/>
  <c r="O140" i="1" s="1"/>
  <c r="P140" i="1"/>
  <c r="N141" i="1"/>
  <c r="O141" i="1" s="1"/>
  <c r="P141" i="1"/>
  <c r="N142" i="1"/>
  <c r="O142" i="1" s="1"/>
  <c r="P142" i="1"/>
  <c r="N143" i="1"/>
  <c r="O143" i="1" s="1"/>
  <c r="P143" i="1"/>
  <c r="N144" i="1"/>
  <c r="O144" i="1" s="1"/>
  <c r="P144" i="1"/>
  <c r="N145" i="1"/>
  <c r="O145" i="1" s="1"/>
  <c r="P145" i="1"/>
  <c r="N149" i="1"/>
  <c r="O149" i="1" s="1"/>
  <c r="P149" i="1"/>
  <c r="N150" i="1"/>
  <c r="O150" i="1" s="1"/>
  <c r="P150" i="1"/>
  <c r="N151" i="1"/>
  <c r="O151" i="1" s="1"/>
  <c r="P151" i="1"/>
  <c r="N122" i="1"/>
  <c r="O122" i="1" s="1"/>
  <c r="P122" i="1"/>
  <c r="N123" i="1"/>
  <c r="O123" i="1" s="1"/>
  <c r="P123" i="1"/>
  <c r="N124" i="1"/>
  <c r="O124" i="1" s="1"/>
  <c r="P124" i="1"/>
  <c r="N125" i="1"/>
  <c r="O125" i="1" s="1"/>
  <c r="P125" i="1"/>
  <c r="N126" i="1"/>
  <c r="O126" i="1" s="1"/>
  <c r="P126" i="1"/>
  <c r="N127" i="1"/>
  <c r="O127" i="1" s="1"/>
  <c r="P127" i="1"/>
  <c r="N128" i="1"/>
  <c r="O128" i="1" s="1"/>
  <c r="P128" i="1"/>
  <c r="N129" i="1"/>
  <c r="O129" i="1" s="1"/>
  <c r="P129" i="1"/>
  <c r="N130" i="1"/>
  <c r="O130" i="1" s="1"/>
  <c r="P130" i="1"/>
  <c r="N134" i="1"/>
  <c r="O134" i="1" s="1"/>
  <c r="P134" i="1"/>
  <c r="N135" i="1"/>
  <c r="O135" i="1" s="1"/>
  <c r="P135" i="1"/>
  <c r="N136" i="1"/>
  <c r="O136" i="1" s="1"/>
  <c r="P136" i="1"/>
  <c r="M98" i="2"/>
  <c r="N98" i="2"/>
  <c r="O98" i="2" s="1"/>
  <c r="M99" i="2"/>
  <c r="N99" i="2"/>
  <c r="O99" i="2" s="1"/>
  <c r="M100" i="2"/>
  <c r="N100" i="2"/>
  <c r="O100" i="2" s="1"/>
  <c r="M101" i="2"/>
  <c r="N101" i="2"/>
  <c r="O101" i="2" s="1"/>
  <c r="M102" i="2"/>
  <c r="N102" i="2"/>
  <c r="O102" i="2" s="1"/>
  <c r="M103" i="2"/>
  <c r="N103" i="2"/>
  <c r="O103" i="2" s="1"/>
  <c r="M104" i="2"/>
  <c r="N104" i="2"/>
  <c r="O104" i="2" s="1"/>
  <c r="M105" i="2"/>
  <c r="N105" i="2"/>
  <c r="O105" i="2" s="1"/>
  <c r="M106" i="2"/>
  <c r="N106" i="2"/>
  <c r="O106" i="2" s="1"/>
  <c r="H6" i="4"/>
  <c r="M2" i="2"/>
  <c r="N2" i="2" s="1"/>
  <c r="O2" i="2" s="1"/>
  <c r="B6" i="4"/>
  <c r="B16" i="4" s="1"/>
  <c r="M121" i="1"/>
  <c r="M120" i="1"/>
  <c r="M119" i="1"/>
  <c r="M118" i="1"/>
  <c r="T118" i="1" s="1"/>
  <c r="M117" i="1"/>
  <c r="T117" i="1" s="1"/>
  <c r="M116" i="1"/>
  <c r="T116" i="1" s="1"/>
  <c r="M115" i="1"/>
  <c r="T115" i="1" s="1"/>
  <c r="M114" i="1"/>
  <c r="T114" i="1" s="1"/>
  <c r="M113" i="1"/>
  <c r="T113" i="1" s="1"/>
  <c r="M112" i="1"/>
  <c r="T112" i="1" s="1"/>
  <c r="M111" i="1"/>
  <c r="T111" i="1" s="1"/>
  <c r="M110" i="1"/>
  <c r="T110" i="1" s="1"/>
  <c r="N108" i="1"/>
  <c r="N109" i="1"/>
  <c r="N110" i="1"/>
  <c r="N111" i="1"/>
  <c r="N112" i="1"/>
  <c r="N113" i="1"/>
  <c r="N114" i="1"/>
  <c r="N115" i="1"/>
  <c r="N119" i="1"/>
  <c r="N120" i="1"/>
  <c r="N121" i="1"/>
  <c r="M109" i="1"/>
  <c r="T109" i="1" s="1"/>
  <c r="N107" i="1"/>
  <c r="M108" i="1"/>
  <c r="T108" i="1" s="1"/>
  <c r="M107" i="1"/>
  <c r="T107" i="1" s="1"/>
  <c r="L117" i="1"/>
  <c r="U117" i="1" s="1"/>
  <c r="L116" i="1"/>
  <c r="U116" i="1" s="1"/>
  <c r="L115" i="1"/>
  <c r="U115" i="1" s="1"/>
  <c r="L114" i="1"/>
  <c r="U114" i="1" s="1"/>
  <c r="L113" i="1"/>
  <c r="U113" i="1" s="1"/>
  <c r="L112" i="1"/>
  <c r="U112" i="1" s="1"/>
  <c r="M87" i="2"/>
  <c r="N87" i="2" s="1"/>
  <c r="O87" i="2" s="1"/>
  <c r="M88" i="2"/>
  <c r="N88" i="2" s="1"/>
  <c r="O88" i="2" s="1"/>
  <c r="M89" i="2"/>
  <c r="N89" i="2" s="1"/>
  <c r="O89" i="2" s="1"/>
  <c r="M90" i="2"/>
  <c r="N90" i="2" s="1"/>
  <c r="O90" i="2" s="1"/>
  <c r="M91" i="2"/>
  <c r="N91" i="2" s="1"/>
  <c r="O91" i="2" s="1"/>
  <c r="M92" i="2"/>
  <c r="N92" i="2" s="1"/>
  <c r="O92" i="2" s="1"/>
  <c r="M93" i="2"/>
  <c r="N93" i="2" s="1"/>
  <c r="O93" i="2" s="1"/>
  <c r="M94" i="2"/>
  <c r="N94" i="2" s="1"/>
  <c r="O94" i="2" s="1"/>
  <c r="L111" i="1"/>
  <c r="U111" i="1" s="1"/>
  <c r="M86" i="2"/>
  <c r="N86" i="2" s="1"/>
  <c r="O86" i="2" s="1"/>
  <c r="L110" i="1"/>
  <c r="U110" i="1" s="1"/>
  <c r="K97" i="2"/>
  <c r="R97" i="2" s="1"/>
  <c r="T97" i="2" s="1"/>
  <c r="L109" i="1"/>
  <c r="U109" i="1" s="1"/>
  <c r="K96" i="2"/>
  <c r="R96" i="2" s="1"/>
  <c r="T96" i="2" s="1"/>
  <c r="L108" i="1"/>
  <c r="U108" i="1" s="1"/>
  <c r="K95" i="2"/>
  <c r="R95" i="2" s="1"/>
  <c r="T95" i="2" s="1"/>
  <c r="K94" i="2"/>
  <c r="R94" i="2" s="1"/>
  <c r="T94" i="2" s="1"/>
  <c r="L107" i="1"/>
  <c r="U107" i="1" s="1"/>
  <c r="K93" i="2"/>
  <c r="R93" i="2" s="1"/>
  <c r="T93" i="2" s="1"/>
  <c r="K92" i="2"/>
  <c r="R92" i="2" s="1"/>
  <c r="T92" i="2" s="1"/>
  <c r="K91" i="2"/>
  <c r="R91" i="2" s="1"/>
  <c r="T91" i="2" s="1"/>
  <c r="K90" i="2"/>
  <c r="R90" i="2" s="1"/>
  <c r="T90" i="2" s="1"/>
  <c r="K89" i="2"/>
  <c r="R89" i="2" s="1"/>
  <c r="T89" i="2" s="1"/>
  <c r="K88" i="2"/>
  <c r="R88" i="2" s="1"/>
  <c r="T88" i="2" s="1"/>
  <c r="K87" i="2"/>
  <c r="R87" i="2" s="1"/>
  <c r="T87" i="2" s="1"/>
  <c r="K86" i="2"/>
  <c r="R86" i="2" s="1"/>
  <c r="T86" i="2" s="1"/>
  <c r="N94" i="1"/>
  <c r="O94" i="1" s="1"/>
  <c r="N59" i="1"/>
  <c r="O59" i="1" s="1"/>
  <c r="P59" i="1"/>
  <c r="N60" i="1"/>
  <c r="O60" i="1" s="1"/>
  <c r="P60" i="1"/>
  <c r="N61" i="1"/>
  <c r="O61" i="1" s="1"/>
  <c r="P61" i="1"/>
  <c r="N55" i="1"/>
  <c r="N92" i="1"/>
  <c r="N93" i="1"/>
  <c r="P94" i="1"/>
  <c r="N95" i="1"/>
  <c r="N96" i="1"/>
  <c r="N97" i="1"/>
  <c r="P98" i="1"/>
  <c r="N99" i="1"/>
  <c r="N100" i="1"/>
  <c r="N104" i="1"/>
  <c r="N105" i="1"/>
  <c r="N106" i="1"/>
  <c r="M74" i="2"/>
  <c r="N74" i="2"/>
  <c r="O74" i="2" s="1"/>
  <c r="M75" i="2"/>
  <c r="N75" i="2"/>
  <c r="O75" i="2" s="1"/>
  <c r="M76" i="2"/>
  <c r="N76" i="2"/>
  <c r="O76" i="2" s="1"/>
  <c r="M77" i="2"/>
  <c r="N77" i="2"/>
  <c r="O77" i="2" s="1"/>
  <c r="M78" i="2"/>
  <c r="N78" i="2" s="1"/>
  <c r="O78" i="2" s="1"/>
  <c r="M79" i="2"/>
  <c r="N79" i="2"/>
  <c r="O79" i="2" s="1"/>
  <c r="M80" i="2"/>
  <c r="N80" i="2"/>
  <c r="O80" i="2" s="1"/>
  <c r="M81" i="2"/>
  <c r="N81" i="2"/>
  <c r="O81" i="2" s="1"/>
  <c r="M82" i="2"/>
  <c r="N82" i="2"/>
  <c r="O82" i="2" s="1"/>
  <c r="N77" i="1"/>
  <c r="N78" i="1"/>
  <c r="N79" i="1"/>
  <c r="N80" i="1"/>
  <c r="N81" i="1"/>
  <c r="N82" i="1"/>
  <c r="N83" i="1"/>
  <c r="N84" i="1"/>
  <c r="N85" i="1"/>
  <c r="N89" i="1"/>
  <c r="N90" i="1"/>
  <c r="N91" i="1"/>
  <c r="N74" i="1"/>
  <c r="M62" i="2"/>
  <c r="N62" i="2" s="1"/>
  <c r="O62" i="2" s="1"/>
  <c r="M63" i="2"/>
  <c r="N63" i="2" s="1"/>
  <c r="O63" i="2" s="1"/>
  <c r="M64" i="2"/>
  <c r="N64" i="2" s="1"/>
  <c r="O64" i="2" s="1"/>
  <c r="M65" i="2"/>
  <c r="N65" i="2" s="1"/>
  <c r="O65" i="2" s="1"/>
  <c r="M66" i="2"/>
  <c r="N66" i="2" s="1"/>
  <c r="O66" i="2" s="1"/>
  <c r="M67" i="2"/>
  <c r="N67" i="2" s="1"/>
  <c r="O67" i="2" s="1"/>
  <c r="M68" i="2"/>
  <c r="N68" i="2" s="1"/>
  <c r="O68" i="2" s="1"/>
  <c r="M69" i="2"/>
  <c r="N69" i="2" s="1"/>
  <c r="O69" i="2" s="1"/>
  <c r="M70" i="2"/>
  <c r="N70" i="2" s="1"/>
  <c r="O70" i="2" s="1"/>
  <c r="M52" i="2"/>
  <c r="D10" i="2"/>
  <c r="D9" i="2"/>
  <c r="D8" i="2"/>
  <c r="N52" i="2"/>
  <c r="O52" i="2" s="1"/>
  <c r="M13" i="1"/>
  <c r="T13" i="1" s="1"/>
  <c r="M12" i="1"/>
  <c r="T12" i="1" s="1"/>
  <c r="M11" i="1"/>
  <c r="T11" i="1" s="1"/>
  <c r="M10" i="1"/>
  <c r="T10" i="1" s="1"/>
  <c r="M9" i="1"/>
  <c r="T9" i="1" s="1"/>
  <c r="M8" i="1"/>
  <c r="T8" i="1" s="1"/>
  <c r="M7" i="1"/>
  <c r="T7" i="1" s="1"/>
  <c r="M6" i="1"/>
  <c r="T6" i="1" s="1"/>
  <c r="M5" i="1"/>
  <c r="T5" i="1" s="1"/>
  <c r="M4" i="1"/>
  <c r="T4" i="1" s="1"/>
  <c r="M3" i="1"/>
  <c r="T3" i="1" s="1"/>
  <c r="M2" i="1"/>
  <c r="T2" i="1" s="1"/>
  <c r="N62" i="1"/>
  <c r="N63" i="1"/>
  <c r="N64" i="1"/>
  <c r="N65" i="1"/>
  <c r="N66" i="1"/>
  <c r="N67" i="1"/>
  <c r="N68" i="1"/>
  <c r="N69" i="1"/>
  <c r="N70" i="1"/>
  <c r="N75" i="1"/>
  <c r="N76" i="1"/>
  <c r="M76" i="1"/>
  <c r="T76" i="1" s="1"/>
  <c r="M75" i="1"/>
  <c r="T75" i="1" s="1"/>
  <c r="M74" i="1"/>
  <c r="T74" i="1" s="1"/>
  <c r="M73" i="1"/>
  <c r="T73" i="1" s="1"/>
  <c r="M72" i="1"/>
  <c r="T72" i="1" s="1"/>
  <c r="M71" i="1"/>
  <c r="T71" i="1" s="1"/>
  <c r="K13" i="2"/>
  <c r="R13" i="2" s="1"/>
  <c r="T13" i="2" s="1"/>
  <c r="M70" i="1"/>
  <c r="T70" i="1" s="1"/>
  <c r="M69" i="1"/>
  <c r="T69" i="1" s="1"/>
  <c r="M68" i="1"/>
  <c r="T68" i="1" s="1"/>
  <c r="K12" i="2"/>
  <c r="R12" i="2" s="1"/>
  <c r="T12" i="2" s="1"/>
  <c r="K11" i="2"/>
  <c r="R11" i="2" s="1"/>
  <c r="T11" i="2" s="1"/>
  <c r="K10" i="2"/>
  <c r="R10" i="2" s="1"/>
  <c r="T10" i="2" s="1"/>
  <c r="K9" i="2"/>
  <c r="R9" i="2" s="1"/>
  <c r="T9" i="2" s="1"/>
  <c r="K8" i="2"/>
  <c r="R8" i="2" s="1"/>
  <c r="T8" i="2" s="1"/>
  <c r="K7" i="2"/>
  <c r="R7" i="2" s="1"/>
  <c r="T7" i="2" s="1"/>
  <c r="K6" i="2"/>
  <c r="R6" i="2" s="1"/>
  <c r="T6" i="2" s="1"/>
  <c r="K5" i="2"/>
  <c r="R5" i="2" s="1"/>
  <c r="T5" i="2" s="1"/>
  <c r="K4" i="2"/>
  <c r="R4" i="2" s="1"/>
  <c r="T4" i="2" s="1"/>
  <c r="K3" i="2"/>
  <c r="R3" i="2" s="1"/>
  <c r="T3" i="2" s="1"/>
  <c r="K2" i="2"/>
  <c r="R2" i="2" s="1"/>
  <c r="T2" i="2" s="1"/>
  <c r="L73" i="1"/>
  <c r="U73" i="1" s="1"/>
  <c r="L72" i="1"/>
  <c r="U72" i="1" s="1"/>
  <c r="L71" i="1"/>
  <c r="U71" i="1" s="1"/>
  <c r="L70" i="1"/>
  <c r="U70" i="1" s="1"/>
  <c r="L69" i="1"/>
  <c r="U69" i="1" s="1"/>
  <c r="K61" i="2"/>
  <c r="R61" i="2" s="1"/>
  <c r="T61" i="2" s="1"/>
  <c r="K60" i="2"/>
  <c r="R60" i="2" s="1"/>
  <c r="T60" i="2" s="1"/>
  <c r="L68" i="1"/>
  <c r="U68" i="1" s="1"/>
  <c r="K59" i="2"/>
  <c r="R59" i="2" s="1"/>
  <c r="T59" i="2" s="1"/>
  <c r="K58" i="2"/>
  <c r="R58" i="2" s="1"/>
  <c r="T58" i="2" s="1"/>
  <c r="L67" i="1"/>
  <c r="U67" i="1" s="1"/>
  <c r="K57" i="2"/>
  <c r="R57" i="2" s="1"/>
  <c r="T57" i="2" s="1"/>
  <c r="K56" i="2"/>
  <c r="R56" i="2" s="1"/>
  <c r="T56" i="2" s="1"/>
  <c r="L66" i="1"/>
  <c r="U66" i="1" s="1"/>
  <c r="K55" i="2"/>
  <c r="R55" i="2" s="1"/>
  <c r="T55" i="2" s="1"/>
  <c r="K54" i="2"/>
  <c r="R54" i="2" s="1"/>
  <c r="T54" i="2" s="1"/>
  <c r="K53" i="2"/>
  <c r="R53" i="2" s="1"/>
  <c r="T53" i="2" s="1"/>
  <c r="K52" i="2"/>
  <c r="R52" i="2" s="1"/>
  <c r="T52" i="2" s="1"/>
  <c r="K51" i="2"/>
  <c r="R51" i="2" s="1"/>
  <c r="T51" i="2" s="1"/>
  <c r="K50" i="2"/>
  <c r="R50" i="2" s="1"/>
  <c r="T50" i="2" s="1"/>
  <c r="L65" i="1"/>
  <c r="U65" i="1" s="1"/>
  <c r="L64" i="1"/>
  <c r="U64" i="1" s="1"/>
  <c r="L63" i="1"/>
  <c r="U63" i="1" s="1"/>
  <c r="L62" i="1"/>
  <c r="U62" i="1" s="1"/>
  <c r="M50" i="2"/>
  <c r="N50" i="2" s="1"/>
  <c r="O50" i="2" s="1"/>
  <c r="M51" i="2"/>
  <c r="N51" i="2" s="1"/>
  <c r="O51" i="2" s="1"/>
  <c r="M53" i="2"/>
  <c r="N53" i="2" s="1"/>
  <c r="O53" i="2" s="1"/>
  <c r="M54" i="2"/>
  <c r="N54" i="2" s="1"/>
  <c r="O54" i="2" s="1"/>
  <c r="M55" i="2"/>
  <c r="N55" i="2" s="1"/>
  <c r="O55" i="2" s="1"/>
  <c r="M56" i="2"/>
  <c r="N56" i="2" s="1"/>
  <c r="O56" i="2" s="1"/>
  <c r="M57" i="2"/>
  <c r="N57" i="2" s="1"/>
  <c r="O57" i="2" s="1"/>
  <c r="M58" i="2"/>
  <c r="N58" i="2" s="1"/>
  <c r="O58" i="2" s="1"/>
  <c r="P3" i="1"/>
  <c r="N4" i="1"/>
  <c r="N5" i="1"/>
  <c r="N6" i="1"/>
  <c r="N7" i="1"/>
  <c r="N8" i="1"/>
  <c r="N9" i="1"/>
  <c r="P10" i="1"/>
  <c r="N17" i="1"/>
  <c r="N18" i="1"/>
  <c r="P19" i="1"/>
  <c r="N20" i="1"/>
  <c r="N23" i="1"/>
  <c r="N24" i="1"/>
  <c r="N25" i="1"/>
  <c r="N29" i="1"/>
  <c r="N30" i="1"/>
  <c r="N31" i="1"/>
  <c r="N32" i="1"/>
  <c r="N33" i="1"/>
  <c r="N34" i="1"/>
  <c r="N35" i="1"/>
  <c r="N36" i="1"/>
  <c r="N37" i="1"/>
  <c r="N38" i="1"/>
  <c r="N39" i="1"/>
  <c r="N40" i="1"/>
  <c r="N44" i="1"/>
  <c r="N45" i="1"/>
  <c r="N46" i="1"/>
  <c r="N47" i="1"/>
  <c r="N48" i="1"/>
  <c r="N49" i="1"/>
  <c r="N50" i="1"/>
  <c r="N51" i="1"/>
  <c r="N52" i="1"/>
  <c r="N53" i="1"/>
  <c r="N54" i="1"/>
  <c r="M3" i="2"/>
  <c r="N3" i="2" s="1"/>
  <c r="O3" i="2" s="1"/>
  <c r="M4" i="2"/>
  <c r="N4" i="2" s="1"/>
  <c r="O4" i="2" s="1"/>
  <c r="M5" i="2"/>
  <c r="N5" i="2" s="1"/>
  <c r="O5" i="2" s="1"/>
  <c r="M6" i="2"/>
  <c r="N6" i="2" s="1"/>
  <c r="O6" i="2" s="1"/>
  <c r="M7" i="2"/>
  <c r="N7" i="2" s="1"/>
  <c r="O7" i="2" s="1"/>
  <c r="M8" i="2"/>
  <c r="N8" i="2" s="1"/>
  <c r="O8" i="2" s="1"/>
  <c r="M9" i="2"/>
  <c r="N9" i="2" s="1"/>
  <c r="O9" i="2" s="1"/>
  <c r="M10" i="2"/>
  <c r="N10" i="2" s="1"/>
  <c r="O10" i="2" s="1"/>
  <c r="M14" i="2"/>
  <c r="N14" i="2" s="1"/>
  <c r="O14" i="2" s="1"/>
  <c r="M15" i="2"/>
  <c r="N15" i="2" s="1"/>
  <c r="O15" i="2" s="1"/>
  <c r="M16" i="2"/>
  <c r="N16" i="2" s="1"/>
  <c r="O16" i="2" s="1"/>
  <c r="M17" i="2"/>
  <c r="N17" i="2" s="1"/>
  <c r="O17" i="2" s="1"/>
  <c r="M18" i="2"/>
  <c r="N18" i="2" s="1"/>
  <c r="O18" i="2" s="1"/>
  <c r="M19" i="2"/>
  <c r="N19" i="2" s="1"/>
  <c r="O19" i="2" s="1"/>
  <c r="M26" i="2"/>
  <c r="N26" i="2" s="1"/>
  <c r="O26" i="2" s="1"/>
  <c r="M27" i="2"/>
  <c r="N27" i="2" s="1"/>
  <c r="O27" i="2" s="1"/>
  <c r="M28" i="2"/>
  <c r="N28" i="2" s="1"/>
  <c r="O28" i="2" s="1"/>
  <c r="M29" i="2"/>
  <c r="N29" i="2" s="1"/>
  <c r="O29" i="2" s="1"/>
  <c r="M30" i="2"/>
  <c r="N30" i="2" s="1"/>
  <c r="O30" i="2" s="1"/>
  <c r="M31" i="2"/>
  <c r="N31" i="2" s="1"/>
  <c r="O31" i="2" s="1"/>
  <c r="M32" i="2"/>
  <c r="N32" i="2" s="1"/>
  <c r="O32" i="2" s="1"/>
  <c r="M33" i="2"/>
  <c r="N33" i="2" s="1"/>
  <c r="O33" i="2" s="1"/>
  <c r="M34" i="2"/>
  <c r="N34" i="2" s="1"/>
  <c r="O34" i="2" s="1"/>
  <c r="M38" i="2"/>
  <c r="N38" i="2" s="1"/>
  <c r="O38" i="2" s="1"/>
  <c r="M39" i="2"/>
  <c r="N39" i="2" s="1"/>
  <c r="O39" i="2" s="1"/>
  <c r="M40" i="2"/>
  <c r="N40" i="2" s="1"/>
  <c r="O40" i="2" s="1"/>
  <c r="M41" i="2"/>
  <c r="N41" i="2" s="1"/>
  <c r="O41" i="2" s="1"/>
  <c r="M42" i="2"/>
  <c r="N42" i="2" s="1"/>
  <c r="O42" i="2" s="1"/>
  <c r="M43" i="2"/>
  <c r="N43" i="2" s="1"/>
  <c r="O43" i="2" s="1"/>
  <c r="M44" i="2"/>
  <c r="N44" i="2" s="1"/>
  <c r="O44" i="2" s="1"/>
  <c r="M45" i="2"/>
  <c r="N45" i="2" s="1"/>
  <c r="O45" i="2" s="1"/>
  <c r="M46" i="2"/>
  <c r="N46" i="2" s="1"/>
  <c r="O46" i="2" s="1"/>
  <c r="I22" i="1"/>
  <c r="N22" i="1" s="1"/>
  <c r="I21" i="1"/>
  <c r="D22" i="2"/>
  <c r="M22" i="2" s="1"/>
  <c r="N22" i="2" s="1"/>
  <c r="O22" i="2" s="1"/>
  <c r="D21" i="2"/>
  <c r="M21" i="2" s="1"/>
  <c r="N21" i="2" s="1"/>
  <c r="O21" i="2" s="1"/>
  <c r="D20" i="2"/>
  <c r="M20" i="2" s="1"/>
  <c r="N20" i="2" s="1"/>
  <c r="O20" i="2" s="1"/>
  <c r="Q19" i="1" l="1"/>
  <c r="R19" i="1"/>
  <c r="Q10" i="1"/>
  <c r="R10" i="1"/>
  <c r="Q3" i="1"/>
  <c r="R3" i="1"/>
  <c r="Q98" i="1"/>
  <c r="R98" i="1"/>
  <c r="Q94" i="1"/>
  <c r="R94" i="1"/>
  <c r="Q61" i="1"/>
  <c r="R61" i="1"/>
  <c r="Q60" i="1"/>
  <c r="R60" i="1"/>
  <c r="Q59" i="1"/>
  <c r="R59" i="1"/>
  <c r="Q136" i="1"/>
  <c r="R136" i="1"/>
  <c r="Q135" i="1"/>
  <c r="R135" i="1"/>
  <c r="Q134" i="1"/>
  <c r="R134" i="1"/>
  <c r="Q130" i="1"/>
  <c r="R130" i="1"/>
  <c r="Q129" i="1"/>
  <c r="R129" i="1"/>
  <c r="Q128" i="1"/>
  <c r="R128" i="1"/>
  <c r="Q127" i="1"/>
  <c r="R127" i="1"/>
  <c r="Q126" i="1"/>
  <c r="R126" i="1"/>
  <c r="Q125" i="1"/>
  <c r="R125" i="1"/>
  <c r="Q124" i="1"/>
  <c r="R124" i="1"/>
  <c r="Q123" i="1"/>
  <c r="R123" i="1"/>
  <c r="Q122" i="1"/>
  <c r="R122" i="1"/>
  <c r="Q151" i="1"/>
  <c r="R151" i="1"/>
  <c r="Q150" i="1"/>
  <c r="R150" i="1"/>
  <c r="Q149" i="1"/>
  <c r="R149" i="1"/>
  <c r="Q145" i="1"/>
  <c r="R145" i="1"/>
  <c r="Q144" i="1"/>
  <c r="R144" i="1"/>
  <c r="Q143" i="1"/>
  <c r="R143" i="1"/>
  <c r="Q142" i="1"/>
  <c r="R142" i="1"/>
  <c r="Q141" i="1"/>
  <c r="R141" i="1"/>
  <c r="Q140" i="1"/>
  <c r="R140" i="1"/>
  <c r="Q139" i="1"/>
  <c r="R139" i="1"/>
  <c r="Q138" i="1"/>
  <c r="R138" i="1"/>
  <c r="Q137" i="1"/>
  <c r="R137" i="1"/>
  <c r="Q160" i="1"/>
  <c r="R160" i="1"/>
  <c r="Q159" i="1"/>
  <c r="R159" i="1"/>
  <c r="Q158" i="1"/>
  <c r="R158" i="1"/>
  <c r="Q157" i="1"/>
  <c r="R157" i="1"/>
  <c r="Q156" i="1"/>
  <c r="R156" i="1"/>
  <c r="Q155" i="1"/>
  <c r="R155" i="1"/>
  <c r="Q154" i="1"/>
  <c r="R154" i="1"/>
  <c r="Q153" i="1"/>
  <c r="R153" i="1"/>
  <c r="Q152" i="1"/>
  <c r="R152" i="1"/>
  <c r="Q166" i="1"/>
  <c r="R166" i="1"/>
  <c r="Q165" i="1"/>
  <c r="R165" i="1"/>
  <c r="Q164" i="1"/>
  <c r="R164" i="1"/>
  <c r="Q181" i="1"/>
  <c r="R181" i="1"/>
  <c r="Q180" i="1"/>
  <c r="R180" i="1"/>
  <c r="Q179" i="1"/>
  <c r="R179" i="1"/>
  <c r="Q175" i="1"/>
  <c r="R175" i="1"/>
  <c r="Q174" i="1"/>
  <c r="R174" i="1"/>
  <c r="Q173" i="1"/>
  <c r="R173" i="1"/>
  <c r="Q172" i="1"/>
  <c r="R172" i="1"/>
  <c r="Q171" i="1"/>
  <c r="R171" i="1"/>
  <c r="Q170" i="1"/>
  <c r="R170" i="1"/>
  <c r="Q169" i="1"/>
  <c r="R169" i="1"/>
  <c r="Q168" i="1"/>
  <c r="R168" i="1"/>
  <c r="Q167" i="1"/>
  <c r="R167" i="1"/>
  <c r="Q196" i="1"/>
  <c r="R196" i="1"/>
  <c r="Q195" i="1"/>
  <c r="R195" i="1"/>
  <c r="Q194" i="1"/>
  <c r="R194" i="1"/>
  <c r="Q190" i="1"/>
  <c r="R190" i="1"/>
  <c r="Q189" i="1"/>
  <c r="R189" i="1"/>
  <c r="Q188" i="1"/>
  <c r="R188" i="1"/>
  <c r="Q187" i="1"/>
  <c r="R187" i="1"/>
  <c r="Q186" i="1"/>
  <c r="R186" i="1"/>
  <c r="Q185" i="1"/>
  <c r="R185" i="1"/>
  <c r="Q184" i="1"/>
  <c r="R184" i="1"/>
  <c r="Q183" i="1"/>
  <c r="R183" i="1"/>
  <c r="Q182" i="1"/>
  <c r="R182" i="1"/>
  <c r="Q211" i="1"/>
  <c r="R211" i="1"/>
  <c r="Q210" i="1"/>
  <c r="R210" i="1"/>
  <c r="Q209" i="1"/>
  <c r="R209" i="1"/>
  <c r="Q205" i="1"/>
  <c r="R205" i="1"/>
  <c r="Q204" i="1"/>
  <c r="R204" i="1"/>
  <c r="Q203" i="1"/>
  <c r="R203" i="1"/>
  <c r="Q202" i="1"/>
  <c r="R202" i="1"/>
  <c r="Q201" i="1"/>
  <c r="R201" i="1"/>
  <c r="Q200" i="1"/>
  <c r="R200" i="1"/>
  <c r="Q199" i="1"/>
  <c r="R199" i="1"/>
  <c r="Q198" i="1"/>
  <c r="R198" i="1"/>
  <c r="Q226" i="1"/>
  <c r="R226" i="1"/>
  <c r="Q225" i="1"/>
  <c r="R225" i="1"/>
  <c r="Q224" i="1"/>
  <c r="R224" i="1"/>
  <c r="Q220" i="1"/>
  <c r="R220" i="1"/>
  <c r="Q219" i="1"/>
  <c r="R219" i="1"/>
  <c r="Q218" i="1"/>
  <c r="R218" i="1"/>
  <c r="Q217" i="1"/>
  <c r="R217" i="1"/>
  <c r="Q216" i="1"/>
  <c r="R216" i="1"/>
  <c r="Q215" i="1"/>
  <c r="R215" i="1"/>
  <c r="Q214" i="1"/>
  <c r="R214" i="1"/>
  <c r="Q213" i="1"/>
  <c r="R213" i="1"/>
  <c r="Q212" i="1"/>
  <c r="R212" i="1"/>
  <c r="Q241" i="1"/>
  <c r="R241" i="1"/>
  <c r="Q240" i="1"/>
  <c r="R240" i="1"/>
  <c r="Q239" i="1"/>
  <c r="R239" i="1"/>
  <c r="Q235" i="1"/>
  <c r="R235" i="1"/>
  <c r="Q234" i="1"/>
  <c r="R234" i="1"/>
  <c r="Q233" i="1"/>
  <c r="R233" i="1"/>
  <c r="Q232" i="1"/>
  <c r="R232" i="1"/>
  <c r="Q231" i="1"/>
  <c r="R231" i="1"/>
  <c r="Q230" i="1"/>
  <c r="R230" i="1"/>
  <c r="Q229" i="1"/>
  <c r="R229" i="1"/>
  <c r="Q228" i="1"/>
  <c r="R228" i="1"/>
  <c r="Q227" i="1"/>
  <c r="R227" i="1"/>
  <c r="Q256" i="1"/>
  <c r="R256" i="1"/>
  <c r="Q255" i="1"/>
  <c r="R255" i="1"/>
  <c r="Q254" i="1"/>
  <c r="R254" i="1"/>
  <c r="Q250" i="1"/>
  <c r="R250" i="1"/>
  <c r="Q249" i="1"/>
  <c r="R249" i="1"/>
  <c r="Q248" i="1"/>
  <c r="R248" i="1"/>
  <c r="Q247" i="1"/>
  <c r="R247" i="1"/>
  <c r="Q246" i="1"/>
  <c r="R246" i="1"/>
  <c r="Q245" i="1"/>
  <c r="R245" i="1"/>
  <c r="Q244" i="1"/>
  <c r="R244" i="1"/>
  <c r="Q243" i="1"/>
  <c r="R243" i="1"/>
  <c r="Q242" i="1"/>
  <c r="R242" i="1"/>
  <c r="Q271" i="1"/>
  <c r="R271" i="1"/>
  <c r="Q270" i="1"/>
  <c r="R270" i="1"/>
  <c r="Q269" i="1"/>
  <c r="R269" i="1"/>
  <c r="Q265" i="1"/>
  <c r="R265" i="1"/>
  <c r="Q264" i="1"/>
  <c r="R264" i="1"/>
  <c r="Q263" i="1"/>
  <c r="R263" i="1"/>
  <c r="Q262" i="1"/>
  <c r="R262" i="1"/>
  <c r="Q261" i="1"/>
  <c r="R261" i="1"/>
  <c r="Q260" i="1"/>
  <c r="R260" i="1"/>
  <c r="Q259" i="1"/>
  <c r="R259" i="1"/>
  <c r="Q258" i="1"/>
  <c r="R258" i="1"/>
  <c r="Q257" i="1"/>
  <c r="R257" i="1"/>
  <c r="Q286" i="1"/>
  <c r="R286" i="1"/>
  <c r="Q285" i="1"/>
  <c r="R285" i="1"/>
  <c r="Q284" i="1"/>
  <c r="R284" i="1"/>
  <c r="Q280" i="1"/>
  <c r="R280" i="1"/>
  <c r="Q279" i="1"/>
  <c r="R279" i="1"/>
  <c r="Q278" i="1"/>
  <c r="R278" i="1"/>
  <c r="Q277" i="1"/>
  <c r="R277" i="1"/>
  <c r="Q276" i="1"/>
  <c r="R276" i="1"/>
  <c r="Q275" i="1"/>
  <c r="R275" i="1"/>
  <c r="Q274" i="1"/>
  <c r="R274" i="1"/>
  <c r="Q273" i="1"/>
  <c r="R273" i="1"/>
  <c r="Q272" i="1"/>
  <c r="R272" i="1"/>
  <c r="Q301" i="1"/>
  <c r="R301" i="1"/>
  <c r="Q300" i="1"/>
  <c r="R300" i="1"/>
  <c r="Q299" i="1"/>
  <c r="R299" i="1"/>
  <c r="Q295" i="1"/>
  <c r="R295" i="1"/>
  <c r="Q294" i="1"/>
  <c r="R294" i="1"/>
  <c r="Q293" i="1"/>
  <c r="R293" i="1"/>
  <c r="Q291" i="1"/>
  <c r="R291" i="1"/>
  <c r="Q290" i="1"/>
  <c r="R290" i="1"/>
  <c r="Q289" i="1"/>
  <c r="R289" i="1"/>
  <c r="Q288" i="1"/>
  <c r="R288" i="1"/>
  <c r="Q287" i="1"/>
  <c r="R287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3" i="1"/>
  <c r="W4" i="1"/>
  <c r="W5" i="1"/>
  <c r="W6" i="1"/>
  <c r="W7" i="1"/>
  <c r="W8" i="1"/>
  <c r="W9" i="1"/>
  <c r="W10" i="1"/>
  <c r="W11" i="1"/>
  <c r="W12" i="1"/>
  <c r="W13" i="1"/>
  <c r="W2" i="1"/>
  <c r="Q292" i="1"/>
  <c r="R292" i="1"/>
  <c r="P22" i="1"/>
  <c r="O22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5" i="1"/>
  <c r="O25" i="1"/>
  <c r="P24" i="1"/>
  <c r="O24" i="1"/>
  <c r="P23" i="1"/>
  <c r="O23" i="1"/>
  <c r="P20" i="1"/>
  <c r="O20" i="1"/>
  <c r="P18" i="1"/>
  <c r="O18" i="1"/>
  <c r="P17" i="1"/>
  <c r="O17" i="1"/>
  <c r="P9" i="1"/>
  <c r="O9" i="1"/>
  <c r="P8" i="1"/>
  <c r="O8" i="1"/>
  <c r="P7" i="1"/>
  <c r="O7" i="1"/>
  <c r="P6" i="1"/>
  <c r="O6" i="1"/>
  <c r="P5" i="1"/>
  <c r="O5" i="1"/>
  <c r="P4" i="1"/>
  <c r="O4" i="1"/>
  <c r="P76" i="1"/>
  <c r="O76" i="1"/>
  <c r="P75" i="1"/>
  <c r="O75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74" i="1"/>
  <c r="O74" i="1"/>
  <c r="P91" i="1"/>
  <c r="O91" i="1"/>
  <c r="P90" i="1"/>
  <c r="O90" i="1"/>
  <c r="P89" i="1"/>
  <c r="O89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106" i="1"/>
  <c r="O106" i="1"/>
  <c r="P105" i="1"/>
  <c r="O105" i="1"/>
  <c r="P104" i="1"/>
  <c r="O104" i="1"/>
  <c r="P100" i="1"/>
  <c r="O100" i="1"/>
  <c r="P99" i="1"/>
  <c r="O99" i="1"/>
  <c r="P97" i="1"/>
  <c r="O97" i="1"/>
  <c r="P96" i="1"/>
  <c r="O96" i="1"/>
  <c r="P95" i="1"/>
  <c r="O95" i="1"/>
  <c r="P93" i="1"/>
  <c r="O93" i="1"/>
  <c r="P92" i="1"/>
  <c r="O92" i="1"/>
  <c r="P55" i="1"/>
  <c r="O55" i="1"/>
  <c r="P107" i="1"/>
  <c r="O107" i="1"/>
  <c r="P121" i="1"/>
  <c r="O121" i="1"/>
  <c r="P120" i="1"/>
  <c r="O120" i="1"/>
  <c r="P119" i="1"/>
  <c r="O119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97" i="1"/>
  <c r="O197" i="1"/>
  <c r="T119" i="1"/>
  <c r="V119" i="1" s="1"/>
  <c r="W119" i="1" s="1"/>
  <c r="T120" i="1"/>
  <c r="V120" i="1" s="1"/>
  <c r="W120" i="1" s="1"/>
  <c r="T121" i="1"/>
  <c r="V121" i="1" s="1"/>
  <c r="W121" i="1" s="1"/>
  <c r="T211" i="1"/>
  <c r="V211" i="1" s="1"/>
  <c r="W211" i="1" s="1"/>
  <c r="V197" i="1"/>
  <c r="W197" i="1" s="1"/>
  <c r="V242" i="1"/>
  <c r="W242" i="1" s="1"/>
  <c r="V243" i="1"/>
  <c r="W243" i="1" s="1"/>
  <c r="V244" i="1"/>
  <c r="W244" i="1" s="1"/>
  <c r="V299" i="1"/>
  <c r="W299" i="1" s="1"/>
  <c r="Q2" i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52" i="1"/>
  <c r="W152" i="1" s="1"/>
  <c r="V153" i="1"/>
  <c r="W153" i="1" s="1"/>
  <c r="V155" i="1"/>
  <c r="W155" i="1" s="1"/>
  <c r="V154" i="1"/>
  <c r="W154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9" i="1"/>
  <c r="W239" i="1" s="1"/>
  <c r="V240" i="1"/>
  <c r="W240" i="1" s="1"/>
  <c r="V241" i="1"/>
  <c r="W241" i="1" s="1"/>
  <c r="V238" i="1"/>
  <c r="W238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300" i="1"/>
  <c r="W300" i="1" s="1"/>
  <c r="V301" i="1"/>
  <c r="W301" i="1" s="1"/>
  <c r="E62" i="5"/>
  <c r="F62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N21" i="1"/>
  <c r="E19" i="5"/>
  <c r="E8" i="5"/>
  <c r="F8" i="5" s="1"/>
  <c r="E7" i="5"/>
  <c r="F7" i="5" s="1"/>
  <c r="E6" i="5"/>
  <c r="F6" i="5" s="1"/>
  <c r="E5" i="5"/>
  <c r="F5" i="5" s="1"/>
  <c r="E4" i="5"/>
  <c r="F4" i="5" s="1"/>
  <c r="F3" i="5"/>
  <c r="E50" i="5"/>
  <c r="F50" i="5" s="1"/>
  <c r="E49" i="5"/>
  <c r="F49" i="5" s="1"/>
  <c r="E48" i="5"/>
  <c r="F48" i="5" s="1"/>
  <c r="E47" i="5"/>
  <c r="F47" i="5" s="1"/>
  <c r="E46" i="5"/>
  <c r="F46" i="5" s="1"/>
  <c r="E45" i="5"/>
  <c r="F45" i="5" s="1"/>
  <c r="E44" i="5"/>
  <c r="F44" i="5" s="1"/>
  <c r="E22" i="5"/>
  <c r="F22" i="5" s="1"/>
  <c r="E21" i="5"/>
  <c r="F21" i="5" s="1"/>
  <c r="E20" i="5"/>
  <c r="F20" i="5" s="1"/>
  <c r="F19" i="5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B17" i="4"/>
  <c r="B18" i="4"/>
  <c r="Q197" i="1" l="1"/>
  <c r="R19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9" i="1"/>
  <c r="R119" i="1"/>
  <c r="Q120" i="1"/>
  <c r="R120" i="1"/>
  <c r="Q121" i="1"/>
  <c r="R121" i="1"/>
  <c r="Q107" i="1"/>
  <c r="R107" i="1"/>
  <c r="Q55" i="1"/>
  <c r="R55" i="1"/>
  <c r="Q92" i="1"/>
  <c r="R92" i="1"/>
  <c r="Q93" i="1"/>
  <c r="R93" i="1"/>
  <c r="Q95" i="1"/>
  <c r="R95" i="1"/>
  <c r="Q96" i="1"/>
  <c r="R96" i="1"/>
  <c r="Q97" i="1"/>
  <c r="R97" i="1"/>
  <c r="Q99" i="1"/>
  <c r="R99" i="1"/>
  <c r="Q100" i="1"/>
  <c r="R100" i="1"/>
  <c r="Q104" i="1"/>
  <c r="R104" i="1"/>
  <c r="Q105" i="1"/>
  <c r="R105" i="1"/>
  <c r="Q106" i="1"/>
  <c r="R10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9" i="1"/>
  <c r="R89" i="1"/>
  <c r="Q90" i="1"/>
  <c r="R90" i="1"/>
  <c r="Q91" i="1"/>
  <c r="R91" i="1"/>
  <c r="Q74" i="1"/>
  <c r="R74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5" i="1"/>
  <c r="R75" i="1"/>
  <c r="Q76" i="1"/>
  <c r="R76" i="1"/>
  <c r="Q4" i="1"/>
  <c r="R4" i="1"/>
  <c r="Q5" i="1"/>
  <c r="R5" i="1"/>
  <c r="Q6" i="1"/>
  <c r="R6" i="1"/>
  <c r="Q7" i="1"/>
  <c r="R7" i="1"/>
  <c r="Q8" i="1"/>
  <c r="R8" i="1"/>
  <c r="Q9" i="1"/>
  <c r="R9" i="1"/>
  <c r="Q17" i="1"/>
  <c r="R17" i="1"/>
  <c r="Q18" i="1"/>
  <c r="R18" i="1"/>
  <c r="Q20" i="1"/>
  <c r="R20" i="1"/>
  <c r="Q23" i="1"/>
  <c r="R23" i="1"/>
  <c r="Q24" i="1"/>
  <c r="R24" i="1"/>
  <c r="Q25" i="1"/>
  <c r="R25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22" i="1"/>
  <c r="R22" i="1"/>
  <c r="P21" i="1"/>
  <c r="O21" i="1"/>
  <c r="Q21" i="1" l="1"/>
  <c r="R21" i="1"/>
</calcChain>
</file>

<file path=xl/sharedStrings.xml><?xml version="1.0" encoding="utf-8"?>
<sst xmlns="http://schemas.openxmlformats.org/spreadsheetml/2006/main" count="3954" uniqueCount="1531">
  <si>
    <t>Reactor</t>
  </si>
  <si>
    <t>Date</t>
  </si>
  <si>
    <t>Day</t>
  </si>
  <si>
    <t>DOcathode [mg/L]</t>
  </si>
  <si>
    <t>ECcathode [mS/cm]</t>
  </si>
  <si>
    <t>Temp. [C]</t>
  </si>
  <si>
    <t>pHanode</t>
  </si>
  <si>
    <t>pHcathode</t>
  </si>
  <si>
    <t>Pot. [mV]</t>
  </si>
  <si>
    <t>Ref. Pot. Anode [mV]</t>
  </si>
  <si>
    <t>Ref. Pot. Cathode [mV]</t>
  </si>
  <si>
    <t>H2S [mg/L]</t>
  </si>
  <si>
    <t>SO4^2-anode [mg/L]</t>
  </si>
  <si>
    <t>Strøm [mA]</t>
  </si>
  <si>
    <t>Current/volume [mA/L]</t>
  </si>
  <si>
    <t>Power [muW]</t>
  </si>
  <si>
    <t>Power/area [W/m2]</t>
  </si>
  <si>
    <t>Power/volume [W/L]</t>
  </si>
  <si>
    <t>H [mol]</t>
  </si>
  <si>
    <t>S1 [mol/L]</t>
  </si>
  <si>
    <t>S2 [mol/L]</t>
  </si>
  <si>
    <t>Tot_S [mol/L]</t>
  </si>
  <si>
    <t>Tot_S [mg/L]</t>
  </si>
  <si>
    <t>C1</t>
  </si>
  <si>
    <t>7.3</t>
  </si>
  <si>
    <t>Molarmass</t>
  </si>
  <si>
    <t>Unit</t>
  </si>
  <si>
    <t>C2</t>
  </si>
  <si>
    <t>M_H2S</t>
  </si>
  <si>
    <t>g/mol</t>
  </si>
  <si>
    <t>C3</t>
  </si>
  <si>
    <t>M_SO4</t>
  </si>
  <si>
    <t>CC1</t>
  </si>
  <si>
    <t>M_S</t>
  </si>
  <si>
    <t>CC2</t>
  </si>
  <si>
    <t>CC3</t>
  </si>
  <si>
    <t>S1</t>
  </si>
  <si>
    <t>S2</t>
  </si>
  <si>
    <t>S3</t>
  </si>
  <si>
    <t>RC1</t>
  </si>
  <si>
    <t>RC2</t>
  </si>
  <si>
    <t>RC3</t>
  </si>
  <si>
    <t>SC1</t>
  </si>
  <si>
    <t>SC2</t>
  </si>
  <si>
    <t>SC3</t>
  </si>
  <si>
    <t>9.3</t>
  </si>
  <si>
    <t>11.3</t>
  </si>
  <si>
    <t>14.3</t>
  </si>
  <si>
    <t>16.3</t>
  </si>
  <si>
    <t>18.3</t>
  </si>
  <si>
    <t>21.3</t>
  </si>
  <si>
    <t>23.3</t>
  </si>
  <si>
    <t>25.3</t>
  </si>
  <si>
    <t>28.3</t>
  </si>
  <si>
    <t>30.3</t>
  </si>
  <si>
    <t>1.4</t>
  </si>
  <si>
    <t>4.4</t>
  </si>
  <si>
    <t>6.4</t>
  </si>
  <si>
    <t>20.4</t>
  </si>
  <si>
    <t>25.4</t>
  </si>
  <si>
    <t>27.4</t>
  </si>
  <si>
    <t>Box</t>
  </si>
  <si>
    <t>DO [mg/L]</t>
  </si>
  <si>
    <t>EC [mS/cm]</t>
  </si>
  <si>
    <t>pH</t>
  </si>
  <si>
    <t>SO4^2- [mg/L]</t>
  </si>
  <si>
    <t>H [mol/L]</t>
  </si>
  <si>
    <t>DO [mol/L]</t>
  </si>
  <si>
    <t>LL1</t>
  </si>
  <si>
    <t>LL2</t>
  </si>
  <si>
    <t>LL3</t>
  </si>
  <si>
    <t>SL1</t>
  </si>
  <si>
    <t>SL2</t>
  </si>
  <si>
    <t>SL3</t>
  </si>
  <si>
    <t>C-SL1</t>
  </si>
  <si>
    <t>C-SL2</t>
  </si>
  <si>
    <t>C-SL3</t>
  </si>
  <si>
    <t>CB1</t>
  </si>
  <si>
    <t>CB2</t>
  </si>
  <si>
    <t>CB3</t>
  </si>
  <si>
    <t>Treatment</t>
  </si>
  <si>
    <t>Resistor</t>
  </si>
  <si>
    <t>Pot [mV]</t>
  </si>
  <si>
    <t>Pot [V]</t>
  </si>
  <si>
    <t>Current/area  [A/m2]</t>
  </si>
  <si>
    <t>CC</t>
  </si>
  <si>
    <t>SC</t>
  </si>
  <si>
    <t>C-SL</t>
  </si>
  <si>
    <t>Big electrode area (BOX)</t>
  </si>
  <si>
    <t>Small electrode area (Reactor)</t>
  </si>
  <si>
    <t>Net diameter</t>
  </si>
  <si>
    <t>mm</t>
  </si>
  <si>
    <t>Net radius</t>
  </si>
  <si>
    <t>Electrode width</t>
  </si>
  <si>
    <t>Electrode depth</t>
  </si>
  <si>
    <t xml:space="preserve">Treads pr. mm </t>
  </si>
  <si>
    <t xml:space="preserve">tread pr. mm </t>
  </si>
  <si>
    <t>Welding</t>
  </si>
  <si>
    <t>mm pr. welding</t>
  </si>
  <si>
    <t>Amount of weldings</t>
  </si>
  <si>
    <t>weldings</t>
  </si>
  <si>
    <t>Total length of electrode wire</t>
  </si>
  <si>
    <t>Pi</t>
  </si>
  <si>
    <t>Coal area</t>
  </si>
  <si>
    <t>m2/g</t>
  </si>
  <si>
    <t>Projected area</t>
  </si>
  <si>
    <t>mm^2</t>
  </si>
  <si>
    <t>mass of coal</t>
  </si>
  <si>
    <t>g</t>
  </si>
  <si>
    <t>m^2</t>
  </si>
  <si>
    <t>Total coal surface area</t>
  </si>
  <si>
    <t>m2</t>
  </si>
  <si>
    <t>Actual area</t>
  </si>
  <si>
    <t>Projected area (without coal)</t>
  </si>
  <si>
    <t>Actual area (without coal)</t>
  </si>
  <si>
    <t>Calculating the length of steel without coal</t>
  </si>
  <si>
    <t> </t>
  </si>
  <si>
    <t>ICP-MS analysis</t>
  </si>
  <si>
    <t xml:space="preserve"> </t>
  </si>
  <si>
    <t>2022-05-10/11/12/18</t>
  </si>
  <si>
    <t>Isabella Joensen</t>
  </si>
  <si>
    <t>Conc. RSD = The same injection analysed 3 times.</t>
  </si>
  <si>
    <t>Method detection limit is calculated from the calibration curve.</t>
  </si>
  <si>
    <t>Samples are diluted 10 fold - result is back calculated</t>
  </si>
  <si>
    <t xml:space="preserve">Fe 56  [ He ] </t>
  </si>
  <si>
    <t xml:space="preserve">Ni 60  [ He ] </t>
  </si>
  <si>
    <t xml:space="preserve">Cu 63  [ He ] </t>
  </si>
  <si>
    <t xml:space="preserve">Cr 52  [ He ] </t>
  </si>
  <si>
    <t xml:space="preserve">Al 27  [ He ] </t>
  </si>
  <si>
    <t xml:space="preserve">P 31  [ He ] </t>
  </si>
  <si>
    <t>Controls (n=4)</t>
  </si>
  <si>
    <t>Ref. value (ug/l)</t>
  </si>
  <si>
    <t>25.2</t>
  </si>
  <si>
    <t>12.4</t>
  </si>
  <si>
    <t>24.4</t>
  </si>
  <si>
    <t>12.5</t>
  </si>
  <si>
    <t>15.0</t>
  </si>
  <si>
    <t>10.7</t>
  </si>
  <si>
    <t>EnvMAT driking water, Cert Ref Standard (%RSD) 100 &amp; 2000 fold</t>
  </si>
  <si>
    <t>1.2</t>
  </si>
  <si>
    <t>2.5</t>
  </si>
  <si>
    <t>2.3</t>
  </si>
  <si>
    <t>1.6</t>
  </si>
  <si>
    <t>6.5</t>
  </si>
  <si>
    <t>29.6</t>
  </si>
  <si>
    <t>EnvMAT driking water, Cert Ref Standard (%Recovery)</t>
  </si>
  <si>
    <t>97.9</t>
  </si>
  <si>
    <t>95.0</t>
  </si>
  <si>
    <t>94.8</t>
  </si>
  <si>
    <t>94.7</t>
  </si>
  <si>
    <t>97.8</t>
  </si>
  <si>
    <t>S 181,975</t>
  </si>
  <si>
    <t xml:space="preserve"> MDL (ug/l)</t>
  </si>
  <si>
    <t xml:space="preserve"> MDL (mg/l)</t>
  </si>
  <si>
    <t>5.00</t>
  </si>
  <si>
    <t>2.00</t>
  </si>
  <si>
    <t>0.50</t>
  </si>
  <si>
    <t>1.00</t>
  </si>
  <si>
    <t xml:space="preserve">Sample name </t>
  </si>
  <si>
    <t>Conc. [ mg/l ]</t>
  </si>
  <si>
    <t>Conc [mol/L]</t>
  </si>
  <si>
    <t>Conc. RSD</t>
  </si>
  <si>
    <t>Conc. [ ug/l ]</t>
  </si>
  <si>
    <t>Conc. [mol/L]</t>
  </si>
  <si>
    <t>206.26</t>
  </si>
  <si>
    <t>6.43E-03</t>
  </si>
  <si>
    <t>2.53%</t>
  </si>
  <si>
    <t>72.17</t>
  </si>
  <si>
    <t>1.29E-06</t>
  </si>
  <si>
    <t>2.10%</t>
  </si>
  <si>
    <t>1.66</t>
  </si>
  <si>
    <t>6.42%</t>
  </si>
  <si>
    <t>&lt; 0,5</t>
  </si>
  <si>
    <t>-</t>
  </si>
  <si>
    <t>1.89</t>
  </si>
  <si>
    <t>12.21%</t>
  </si>
  <si>
    <t>&lt; 5</t>
  </si>
  <si>
    <t>9.46</t>
  </si>
  <si>
    <t>2.97%</t>
  </si>
  <si>
    <t>207.98</t>
  </si>
  <si>
    <t>6.49E-03</t>
  </si>
  <si>
    <t>0.74%</t>
  </si>
  <si>
    <t>36.12</t>
  </si>
  <si>
    <t>6.47E-07</t>
  </si>
  <si>
    <t>2.51%</t>
  </si>
  <si>
    <t>1.68</t>
  </si>
  <si>
    <t>10.13%</t>
  </si>
  <si>
    <t>2.01</t>
  </si>
  <si>
    <t>6.61%</t>
  </si>
  <si>
    <t>10.13</t>
  </si>
  <si>
    <t>0.81%</t>
  </si>
  <si>
    <t>192.73</t>
  </si>
  <si>
    <t>6.01E-03</t>
  </si>
  <si>
    <t>1.75%</t>
  </si>
  <si>
    <t>88.49</t>
  </si>
  <si>
    <t>1.58E-06</t>
  </si>
  <si>
    <t>2.46%</t>
  </si>
  <si>
    <t>1.71</t>
  </si>
  <si>
    <t>23.12%</t>
  </si>
  <si>
    <t>1.82</t>
  </si>
  <si>
    <t>13.45%</t>
  </si>
  <si>
    <t>10.49</t>
  </si>
  <si>
    <t>0.90%</t>
  </si>
  <si>
    <t>185.26</t>
  </si>
  <si>
    <t>5.78E-03</t>
  </si>
  <si>
    <t>3.17%</t>
  </si>
  <si>
    <t>48.97</t>
  </si>
  <si>
    <t>8.77E-07</t>
  </si>
  <si>
    <t>4.04%</t>
  </si>
  <si>
    <t>1.58</t>
  </si>
  <si>
    <t>14.06%</t>
  </si>
  <si>
    <t>2.14</t>
  </si>
  <si>
    <t>6.43%</t>
  </si>
  <si>
    <t>10.08</t>
  </si>
  <si>
    <t>3.47%</t>
  </si>
  <si>
    <t>168.80</t>
  </si>
  <si>
    <t>5.26E-03</t>
  </si>
  <si>
    <t>1.05%</t>
  </si>
  <si>
    <t>28.10</t>
  </si>
  <si>
    <t>5.03E-07</t>
  </si>
  <si>
    <t>4.53%</t>
  </si>
  <si>
    <t>1.72</t>
  </si>
  <si>
    <t>12.05%</t>
  </si>
  <si>
    <t>2.25</t>
  </si>
  <si>
    <t>11.76%</t>
  </si>
  <si>
    <t>10.71</t>
  </si>
  <si>
    <t>1.88%</t>
  </si>
  <si>
    <t>194.28</t>
  </si>
  <si>
    <t>6.06E-03</t>
  </si>
  <si>
    <t>0.27%</t>
  </si>
  <si>
    <t>52.07</t>
  </si>
  <si>
    <t>9.32E-07</t>
  </si>
  <si>
    <t>2.52%</t>
  </si>
  <si>
    <t>1.39</t>
  </si>
  <si>
    <t>26.85%</t>
  </si>
  <si>
    <t>1.65</t>
  </si>
  <si>
    <t>20.18%</t>
  </si>
  <si>
    <t>10.15</t>
  </si>
  <si>
    <t>0.92%</t>
  </si>
  <si>
    <t>223.24</t>
  </si>
  <si>
    <t>6.96E-03</t>
  </si>
  <si>
    <t>1.08%</t>
  </si>
  <si>
    <t>60.02</t>
  </si>
  <si>
    <t>1.07E-06</t>
  </si>
  <si>
    <t>1.19%</t>
  </si>
  <si>
    <t>1.17</t>
  </si>
  <si>
    <t>12.09%</t>
  </si>
  <si>
    <t>11.90%</t>
  </si>
  <si>
    <t>7.93</t>
  </si>
  <si>
    <t>1.91%</t>
  </si>
  <si>
    <t>228.33</t>
  </si>
  <si>
    <t>7.12E-03</t>
  </si>
  <si>
    <t>0.59%</t>
  </si>
  <si>
    <t>20.90</t>
  </si>
  <si>
    <t>3.74E-07</t>
  </si>
  <si>
    <t>9.77%</t>
  </si>
  <si>
    <t>1.08</t>
  </si>
  <si>
    <t>15.75%</t>
  </si>
  <si>
    <t>9.29%</t>
  </si>
  <si>
    <t>7.80</t>
  </si>
  <si>
    <t>1.44%</t>
  </si>
  <si>
    <t>191.11</t>
  </si>
  <si>
    <t>5.96E-03</t>
  </si>
  <si>
    <t>0.57%</t>
  </si>
  <si>
    <t>26.87</t>
  </si>
  <si>
    <t>4.81E-07</t>
  </si>
  <si>
    <t>2.12%</t>
  </si>
  <si>
    <t>1.44</t>
  </si>
  <si>
    <t>6.56%</t>
  </si>
  <si>
    <t>9.32%</t>
  </si>
  <si>
    <t>9.58</t>
  </si>
  <si>
    <t>0.35%</t>
  </si>
  <si>
    <t>187.53</t>
  </si>
  <si>
    <t>5.85E-03</t>
  </si>
  <si>
    <t>0.98%</t>
  </si>
  <si>
    <t>12.65</t>
  </si>
  <si>
    <t>2.26E-07</t>
  </si>
  <si>
    <t>6.68%</t>
  </si>
  <si>
    <t>1.12</t>
  </si>
  <si>
    <t>6.41%</t>
  </si>
  <si>
    <t>0.55</t>
  </si>
  <si>
    <t>23.16%</t>
  </si>
  <si>
    <t>1.55</t>
  </si>
  <si>
    <t>3.27%</t>
  </si>
  <si>
    <t>8.95</t>
  </si>
  <si>
    <t>1.27%</t>
  </si>
  <si>
    <t>197.28</t>
  </si>
  <si>
    <t>6.15E-03</t>
  </si>
  <si>
    <t>2.18%</t>
  </si>
  <si>
    <t>17.44</t>
  </si>
  <si>
    <t>3.12E-07</t>
  </si>
  <si>
    <t>3.10%</t>
  </si>
  <si>
    <t>1.18</t>
  </si>
  <si>
    <t>1.10%</t>
  </si>
  <si>
    <t>1.95</t>
  </si>
  <si>
    <t>16.24%</t>
  </si>
  <si>
    <t>7.89</t>
  </si>
  <si>
    <t>2.87%</t>
  </si>
  <si>
    <t>195.61</t>
  </si>
  <si>
    <t>6.10E-03</t>
  </si>
  <si>
    <t>2.40%</t>
  </si>
  <si>
    <t>16.52</t>
  </si>
  <si>
    <t>2.96E-07</t>
  </si>
  <si>
    <t>7.18%</t>
  </si>
  <si>
    <t>0.99</t>
  </si>
  <si>
    <t>3.59%</t>
  </si>
  <si>
    <t>0.75</t>
  </si>
  <si>
    <t>12.33%</t>
  </si>
  <si>
    <t>8.15</t>
  </si>
  <si>
    <t>237.84</t>
  </si>
  <si>
    <t>7.42E-03</t>
  </si>
  <si>
    <t>1.09%</t>
  </si>
  <si>
    <t>60.58</t>
  </si>
  <si>
    <t>1.08E-06</t>
  </si>
  <si>
    <t>3.03%</t>
  </si>
  <si>
    <t>22.71%</t>
  </si>
  <si>
    <t>0.86</t>
  </si>
  <si>
    <t>17.64%</t>
  </si>
  <si>
    <t>7.22</t>
  </si>
  <si>
    <t>0.87%</t>
  </si>
  <si>
    <t>235.78</t>
  </si>
  <si>
    <t>7.35E-03</t>
  </si>
  <si>
    <t>1.66%</t>
  </si>
  <si>
    <t>53.63</t>
  </si>
  <si>
    <t>9.60E-07</t>
  </si>
  <si>
    <t>3.29%</t>
  </si>
  <si>
    <t>1.67</t>
  </si>
  <si>
    <t>3.71%</t>
  </si>
  <si>
    <t>0.81</t>
  </si>
  <si>
    <t>14.56%</t>
  </si>
  <si>
    <t>6.21</t>
  </si>
  <si>
    <t>0.93%</t>
  </si>
  <si>
    <t>250.40</t>
  </si>
  <si>
    <t>7.81E-03</t>
  </si>
  <si>
    <t>1.82%</t>
  </si>
  <si>
    <t>46.58</t>
  </si>
  <si>
    <t>8.34E-07</t>
  </si>
  <si>
    <t>1.55%</t>
  </si>
  <si>
    <t>10.03%</t>
  </si>
  <si>
    <t>0.63</t>
  </si>
  <si>
    <t>15.94%</t>
  </si>
  <si>
    <t>4.96</t>
  </si>
  <si>
    <t>0.85%</t>
  </si>
  <si>
    <t>248.10</t>
  </si>
  <si>
    <t>7.74E-03</t>
  </si>
  <si>
    <t>2.05%</t>
  </si>
  <si>
    <t>20.54</t>
  </si>
  <si>
    <t>3.68E-07</t>
  </si>
  <si>
    <t>1.59%</t>
  </si>
  <si>
    <t>1.40</t>
  </si>
  <si>
    <t>20.57%</t>
  </si>
  <si>
    <t>0.51</t>
  </si>
  <si>
    <t>5.81%</t>
  </si>
  <si>
    <t>0.74</t>
  </si>
  <si>
    <t>25.86%</t>
  </si>
  <si>
    <t>5.67</t>
  </si>
  <si>
    <t>1.84%</t>
  </si>
  <si>
    <t>&lt;5</t>
  </si>
  <si>
    <t>1.56E-04</t>
  </si>
  <si>
    <t>&lt;2</t>
  </si>
  <si>
    <t>3.58E-08</t>
  </si>
  <si>
    <t>&lt; 1</t>
  </si>
  <si>
    <t>286.48</t>
  </si>
  <si>
    <t>8.93E-03</t>
  </si>
  <si>
    <t>1.78%</t>
  </si>
  <si>
    <t>5.02</t>
  </si>
  <si>
    <t>8.98E-08</t>
  </si>
  <si>
    <t>17.02%</t>
  </si>
  <si>
    <t>363.43</t>
  </si>
  <si>
    <t>4.57</t>
  </si>
  <si>
    <t>0.97%</t>
  </si>
  <si>
    <t>0.80</t>
  </si>
  <si>
    <t>20.14%</t>
  </si>
  <si>
    <t>260.64</t>
  </si>
  <si>
    <t>8.13E-03</t>
  </si>
  <si>
    <t>1.31%</t>
  </si>
  <si>
    <t>4.84</t>
  </si>
  <si>
    <t>8.66E-08</t>
  </si>
  <si>
    <t>15.70%</t>
  </si>
  <si>
    <t>1.31</t>
  </si>
  <si>
    <t>4.58%</t>
  </si>
  <si>
    <t>1.80</t>
  </si>
  <si>
    <t>10.83%</t>
  </si>
  <si>
    <t>34.43%</t>
  </si>
  <si>
    <t>2.04</t>
  </si>
  <si>
    <t>1.41%</t>
  </si>
  <si>
    <t>237.21</t>
  </si>
  <si>
    <t>7.40E-03</t>
  </si>
  <si>
    <t>9.25</t>
  </si>
  <si>
    <t>1.66E-07</t>
  </si>
  <si>
    <t>5.46%</t>
  </si>
  <si>
    <t>1.02</t>
  </si>
  <si>
    <t>26.73%</t>
  </si>
  <si>
    <t>0.82</t>
  </si>
  <si>
    <t>17.93%</t>
  </si>
  <si>
    <t>3.48</t>
  </si>
  <si>
    <t>0.18%</t>
  </si>
  <si>
    <t>271.31</t>
  </si>
  <si>
    <t>8.46E-03</t>
  </si>
  <si>
    <t>0.68%</t>
  </si>
  <si>
    <t>5.25</t>
  </si>
  <si>
    <t>9.41E-08</t>
  </si>
  <si>
    <t>5.80%</t>
  </si>
  <si>
    <t>1.01</t>
  </si>
  <si>
    <t>2.47%</t>
  </si>
  <si>
    <t>1.69</t>
  </si>
  <si>
    <t>1.57%</t>
  </si>
  <si>
    <t>0.57</t>
  </si>
  <si>
    <t>22.52%</t>
  </si>
  <si>
    <t>6.18%</t>
  </si>
  <si>
    <t>257.60</t>
  </si>
  <si>
    <t>8.03E-03</t>
  </si>
  <si>
    <t>1.34%</t>
  </si>
  <si>
    <t>22.98</t>
  </si>
  <si>
    <t>4.12E-07</t>
  </si>
  <si>
    <t>2.79%</t>
  </si>
  <si>
    <t>0.77</t>
  </si>
  <si>
    <t>29.33%</t>
  </si>
  <si>
    <t>20.11%</t>
  </si>
  <si>
    <t>1.50</t>
  </si>
  <si>
    <t>135.90%</t>
  </si>
  <si>
    <t>5.54</t>
  </si>
  <si>
    <t>3.22%</t>
  </si>
  <si>
    <t>265.81</t>
  </si>
  <si>
    <t>8.29E-03</t>
  </si>
  <si>
    <t>1.33%</t>
  </si>
  <si>
    <t>15.45</t>
  </si>
  <si>
    <t>2.77E-07</t>
  </si>
  <si>
    <t>8.95%</t>
  </si>
  <si>
    <t>1.57</t>
  </si>
  <si>
    <t>8.83%</t>
  </si>
  <si>
    <t>0.61</t>
  </si>
  <si>
    <t>9.67%</t>
  </si>
  <si>
    <t>4.20</t>
  </si>
  <si>
    <t>3.09%</t>
  </si>
  <si>
    <t>258.87</t>
  </si>
  <si>
    <t>8.07E-03</t>
  </si>
  <si>
    <t>1.37%</t>
  </si>
  <si>
    <t>26.12</t>
  </si>
  <si>
    <t>4.68E-07</t>
  </si>
  <si>
    <t>4.07%</t>
  </si>
  <si>
    <t>0.73</t>
  </si>
  <si>
    <t>42.65%</t>
  </si>
  <si>
    <t>5.28</t>
  </si>
  <si>
    <t>246.96</t>
  </si>
  <si>
    <t>7.70E-03</t>
  </si>
  <si>
    <t>40.42</t>
  </si>
  <si>
    <t>7.24E-07</t>
  </si>
  <si>
    <t>2.72%</t>
  </si>
  <si>
    <t>0.53</t>
  </si>
  <si>
    <t>19.97%</t>
  </si>
  <si>
    <t>7.00</t>
  </si>
  <si>
    <t>2.09%</t>
  </si>
  <si>
    <t>227.16</t>
  </si>
  <si>
    <t>7.08E-03</t>
  </si>
  <si>
    <t>1.28%</t>
  </si>
  <si>
    <t>27.61</t>
  </si>
  <si>
    <t>4.94E-07</t>
  </si>
  <si>
    <t>5.45%</t>
  </si>
  <si>
    <t>20.64%</t>
  </si>
  <si>
    <t>5.96%</t>
  </si>
  <si>
    <t>7.74</t>
  </si>
  <si>
    <t>0.89%</t>
  </si>
  <si>
    <t>268.36</t>
  </si>
  <si>
    <t>8.37E-03</t>
  </si>
  <si>
    <t>1.03%</t>
  </si>
  <si>
    <t>6.15</t>
  </si>
  <si>
    <t>1.10E-07</t>
  </si>
  <si>
    <t>5.06%</t>
  </si>
  <si>
    <t>0.70</t>
  </si>
  <si>
    <t>18.86%</t>
  </si>
  <si>
    <t>1.27</t>
  </si>
  <si>
    <t>8.43%</t>
  </si>
  <si>
    <t>2.28</t>
  </si>
  <si>
    <t>5.21%</t>
  </si>
  <si>
    <t>180.02</t>
  </si>
  <si>
    <t>5.61E-03</t>
  </si>
  <si>
    <t>1.29%</t>
  </si>
  <si>
    <t>73.11</t>
  </si>
  <si>
    <t>1.31E-06</t>
  </si>
  <si>
    <t>0.73%</t>
  </si>
  <si>
    <t>0.90</t>
  </si>
  <si>
    <t>13.49%</t>
  </si>
  <si>
    <t>0.91</t>
  </si>
  <si>
    <t>28.11%</t>
  </si>
  <si>
    <t>9.22</t>
  </si>
  <si>
    <t>2.95%</t>
  </si>
  <si>
    <t>166.10</t>
  </si>
  <si>
    <t>5.18E-03</t>
  </si>
  <si>
    <t>0.49%</t>
  </si>
  <si>
    <t>102.03</t>
  </si>
  <si>
    <t>1.83E-06</t>
  </si>
  <si>
    <t>1.09</t>
  </si>
  <si>
    <t>4.48%</t>
  </si>
  <si>
    <t>1.07</t>
  </si>
  <si>
    <t>18.13%</t>
  </si>
  <si>
    <t>10.52</t>
  </si>
  <si>
    <t>0.66%</t>
  </si>
  <si>
    <t>173.58</t>
  </si>
  <si>
    <t>5.41E-03</t>
  </si>
  <si>
    <t>112.48</t>
  </si>
  <si>
    <t>2.01E-06</t>
  </si>
  <si>
    <t>1.87%</t>
  </si>
  <si>
    <t>1.26</t>
  </si>
  <si>
    <t>30.15%</t>
  </si>
  <si>
    <t>0.58</t>
  </si>
  <si>
    <t>20.22%</t>
  </si>
  <si>
    <t>10.64</t>
  </si>
  <si>
    <t>140.76</t>
  </si>
  <si>
    <t>4.39E-03</t>
  </si>
  <si>
    <t>18.36</t>
  </si>
  <si>
    <t>3.29E-07</t>
  </si>
  <si>
    <t>4.45%</t>
  </si>
  <si>
    <t>8.29%</t>
  </si>
  <si>
    <t>0.79</t>
  </si>
  <si>
    <t>17.12%</t>
  </si>
  <si>
    <t>1.25%</t>
  </si>
  <si>
    <t>117.58</t>
  </si>
  <si>
    <t>3.67E-03</t>
  </si>
  <si>
    <t>0.83%</t>
  </si>
  <si>
    <t>8.46</t>
  </si>
  <si>
    <t>1.51E-07</t>
  </si>
  <si>
    <t>9.26%</t>
  </si>
  <si>
    <t>4.87%</t>
  </si>
  <si>
    <t>0.65</t>
  </si>
  <si>
    <t>14.02%</t>
  </si>
  <si>
    <t>10.84</t>
  </si>
  <si>
    <t>1.94%</t>
  </si>
  <si>
    <t>146.30</t>
  </si>
  <si>
    <t>4.56E-03</t>
  </si>
  <si>
    <t>1.95%</t>
  </si>
  <si>
    <t>22.15</t>
  </si>
  <si>
    <t>3.97E-07</t>
  </si>
  <si>
    <t>3.33%</t>
  </si>
  <si>
    <t>18.61%</t>
  </si>
  <si>
    <t>10.46%</t>
  </si>
  <si>
    <t>10.72</t>
  </si>
  <si>
    <t>0.77%</t>
  </si>
  <si>
    <t>219.14</t>
  </si>
  <si>
    <t>6.83E-03</t>
  </si>
  <si>
    <t>88.99</t>
  </si>
  <si>
    <t>1.59E-06</t>
  </si>
  <si>
    <t>0.60%</t>
  </si>
  <si>
    <t>0.88</t>
  </si>
  <si>
    <t>19.65%</t>
  </si>
  <si>
    <t>0.68</t>
  </si>
  <si>
    <t>32.19%</t>
  </si>
  <si>
    <t>8.88</t>
  </si>
  <si>
    <t>1.76%</t>
  </si>
  <si>
    <t>209.53</t>
  </si>
  <si>
    <t>6.53E-03</t>
  </si>
  <si>
    <t>1.49%</t>
  </si>
  <si>
    <t>18.31</t>
  </si>
  <si>
    <t>3.28E-07</t>
  </si>
  <si>
    <t>3.35%</t>
  </si>
  <si>
    <t>14.28%</t>
  </si>
  <si>
    <t>5.85%</t>
  </si>
  <si>
    <t>10.48</t>
  </si>
  <si>
    <t>51.49%</t>
  </si>
  <si>
    <t>8.79</t>
  </si>
  <si>
    <t>1.64%</t>
  </si>
  <si>
    <t>154.42</t>
  </si>
  <si>
    <t>4.82E-03</t>
  </si>
  <si>
    <t>1.47%</t>
  </si>
  <si>
    <t>12.33</t>
  </si>
  <si>
    <t>2.21E-07</t>
  </si>
  <si>
    <t>4.61%</t>
  </si>
  <si>
    <t>0.84</t>
  </si>
  <si>
    <t>34.34%</t>
  </si>
  <si>
    <t>2.60</t>
  </si>
  <si>
    <t>7.28%</t>
  </si>
  <si>
    <t>10.16</t>
  </si>
  <si>
    <t>2.14%</t>
  </si>
  <si>
    <t>177.49</t>
  </si>
  <si>
    <t>5.54E-03</t>
  </si>
  <si>
    <t>2.31%</t>
  </si>
  <si>
    <t>4.90</t>
  </si>
  <si>
    <t>8.77E-08</t>
  </si>
  <si>
    <t>8.48%</t>
  </si>
  <si>
    <t>11.32%</t>
  </si>
  <si>
    <t>9.53</t>
  </si>
  <si>
    <t>160.57</t>
  </si>
  <si>
    <t>5.01E-03</t>
  </si>
  <si>
    <t>4.16</t>
  </si>
  <si>
    <t>7.45E-08</t>
  </si>
  <si>
    <t>17.26%</t>
  </si>
  <si>
    <t>24.33%</t>
  </si>
  <si>
    <t>9.23%</t>
  </si>
  <si>
    <t>9.07</t>
  </si>
  <si>
    <t>2.67%</t>
  </si>
  <si>
    <t>172.44</t>
  </si>
  <si>
    <t>5.38E-03</t>
  </si>
  <si>
    <t>1.32%</t>
  </si>
  <si>
    <t>3.56</t>
  </si>
  <si>
    <t>6.37E-08</t>
  </si>
  <si>
    <t>8.36%</t>
  </si>
  <si>
    <t>12.10%</t>
  </si>
  <si>
    <t>2.44%</t>
  </si>
  <si>
    <t>227.52</t>
  </si>
  <si>
    <t>7.10E-03</t>
  </si>
  <si>
    <t>1.48%</t>
  </si>
  <si>
    <t>25.49</t>
  </si>
  <si>
    <t>4.56E-07</t>
  </si>
  <si>
    <t>5.49%</t>
  </si>
  <si>
    <t>1.23</t>
  </si>
  <si>
    <t>14.29%</t>
  </si>
  <si>
    <t>0.97</t>
  </si>
  <si>
    <t>15.65%</t>
  </si>
  <si>
    <t>9.10</t>
  </si>
  <si>
    <t>1.22%</t>
  </si>
  <si>
    <t>228.37</t>
  </si>
  <si>
    <t>44.84</t>
  </si>
  <si>
    <t>8.03E-07</t>
  </si>
  <si>
    <t>1.90%</t>
  </si>
  <si>
    <t>1.45</t>
  </si>
  <si>
    <t>4.54%</t>
  </si>
  <si>
    <t>0.96</t>
  </si>
  <si>
    <t>8.46%</t>
  </si>
  <si>
    <t>9.11</t>
  </si>
  <si>
    <t>0.70%</t>
  </si>
  <si>
    <t>230.35</t>
  </si>
  <si>
    <t>7.18E-03</t>
  </si>
  <si>
    <t>1.60%</t>
  </si>
  <si>
    <t>46.59</t>
  </si>
  <si>
    <t>1.54</t>
  </si>
  <si>
    <t>22.49%</t>
  </si>
  <si>
    <t>22.48%</t>
  </si>
  <si>
    <t>8.64</t>
  </si>
  <si>
    <t>247.26</t>
  </si>
  <si>
    <t>7.71E-03</t>
  </si>
  <si>
    <t>2.68%</t>
  </si>
  <si>
    <t>13.81</t>
  </si>
  <si>
    <t>2.47E-07</t>
  </si>
  <si>
    <t>1.11</t>
  </si>
  <si>
    <t>11.37%</t>
  </si>
  <si>
    <t>1.38</t>
  </si>
  <si>
    <t>48.56%</t>
  </si>
  <si>
    <t>4.73</t>
  </si>
  <si>
    <t>2.82%</t>
  </si>
  <si>
    <t>229.39</t>
  </si>
  <si>
    <t>7.15E-03</t>
  </si>
  <si>
    <t>1.21%</t>
  </si>
  <si>
    <t>12.88</t>
  </si>
  <si>
    <t>2.31E-07</t>
  </si>
  <si>
    <t>4.47%</t>
  </si>
  <si>
    <t>2.05</t>
  </si>
  <si>
    <t>9.27%</t>
  </si>
  <si>
    <t>5.50</t>
  </si>
  <si>
    <t>3.39%</t>
  </si>
  <si>
    <t>280.61</t>
  </si>
  <si>
    <t>8.75E-03</t>
  </si>
  <si>
    <t>3.62%</t>
  </si>
  <si>
    <t>3.67E-08</t>
  </si>
  <si>
    <t>8.72%</t>
  </si>
  <si>
    <t>137.75</t>
  </si>
  <si>
    <t>2.32%</t>
  </si>
  <si>
    <t>3.30</t>
  </si>
  <si>
    <t>1.25</t>
  </si>
  <si>
    <t>4.62%</t>
  </si>
  <si>
    <t>264.44</t>
  </si>
  <si>
    <t>8.25E-03</t>
  </si>
  <si>
    <t>0.88%</t>
  </si>
  <si>
    <t>6.62</t>
  </si>
  <si>
    <t>1.18E-07</t>
  </si>
  <si>
    <t>16.03%</t>
  </si>
  <si>
    <t>2.16</t>
  </si>
  <si>
    <t>9.74%</t>
  </si>
  <si>
    <t>1.49</t>
  </si>
  <si>
    <t>5.44%</t>
  </si>
  <si>
    <t>237.40</t>
  </si>
  <si>
    <t>2.25%</t>
  </si>
  <si>
    <t>7.49</t>
  </si>
  <si>
    <t>1.34E-07</t>
  </si>
  <si>
    <t>3.83%</t>
  </si>
  <si>
    <t>0.85</t>
  </si>
  <si>
    <t>3.97%</t>
  </si>
  <si>
    <t>15.45%</t>
  </si>
  <si>
    <t>3.59</t>
  </si>
  <si>
    <t>3.49%</t>
  </si>
  <si>
    <t>277.91</t>
  </si>
  <si>
    <t>8.67E-03</t>
  </si>
  <si>
    <t>2.98%</t>
  </si>
  <si>
    <t>4.31</t>
  </si>
  <si>
    <t>7.72E-08</t>
  </si>
  <si>
    <t>5.37%</t>
  </si>
  <si>
    <t>1.06</t>
  </si>
  <si>
    <t>18.64%</t>
  </si>
  <si>
    <t>2.64</t>
  </si>
  <si>
    <t>4.27%</t>
  </si>
  <si>
    <t>2.78%</t>
  </si>
  <si>
    <t>246.84</t>
  </si>
  <si>
    <t>0.56%</t>
  </si>
  <si>
    <t>15.17</t>
  </si>
  <si>
    <t>2.72E-07</t>
  </si>
  <si>
    <t>2.92%</t>
  </si>
  <si>
    <t>20.80%</t>
  </si>
  <si>
    <t>4.71</t>
  </si>
  <si>
    <t>265.12</t>
  </si>
  <si>
    <t>8.27E-03</t>
  </si>
  <si>
    <t>4.97</t>
  </si>
  <si>
    <t>8.90E-08</t>
  </si>
  <si>
    <t>11.47%</t>
  </si>
  <si>
    <t>12.72%</t>
  </si>
  <si>
    <t>0.76</t>
  </si>
  <si>
    <t>6.70%</t>
  </si>
  <si>
    <t>254.44</t>
  </si>
  <si>
    <t>7.93E-03</t>
  </si>
  <si>
    <t>1.15%</t>
  </si>
  <si>
    <t>11.48</t>
  </si>
  <si>
    <t>2.06E-07</t>
  </si>
  <si>
    <t>5.87%</t>
  </si>
  <si>
    <t>0.78</t>
  </si>
  <si>
    <t>11.68%</t>
  </si>
  <si>
    <t>0.98</t>
  </si>
  <si>
    <t>6.00%</t>
  </si>
  <si>
    <t>2.94%</t>
  </si>
  <si>
    <t>249.93</t>
  </si>
  <si>
    <t>7.79E-03</t>
  </si>
  <si>
    <t>0.10%</t>
  </si>
  <si>
    <t>14.73</t>
  </si>
  <si>
    <t>2.64E-07</t>
  </si>
  <si>
    <t>7.53%</t>
  </si>
  <si>
    <t>0.59</t>
  </si>
  <si>
    <t>23.24%</t>
  </si>
  <si>
    <t>2.29%</t>
  </si>
  <si>
    <t>2.48</t>
  </si>
  <si>
    <t>1.56%</t>
  </si>
  <si>
    <t>234.27</t>
  </si>
  <si>
    <t>7.31E-03</t>
  </si>
  <si>
    <t>18.07</t>
  </si>
  <si>
    <t>3.24E-07</t>
  </si>
  <si>
    <t>6.04%</t>
  </si>
  <si>
    <t>5.40</t>
  </si>
  <si>
    <t>273.76</t>
  </si>
  <si>
    <t>8.54E-03</t>
  </si>
  <si>
    <t>3.18</t>
  </si>
  <si>
    <t>5.70E-08</t>
  </si>
  <si>
    <t>4.05%</t>
  </si>
  <si>
    <t>13.87%</t>
  </si>
  <si>
    <t>8.31%</t>
  </si>
  <si>
    <t>176.09</t>
  </si>
  <si>
    <t>5.49E-03</t>
  </si>
  <si>
    <t>1.53%</t>
  </si>
  <si>
    <t>146.21</t>
  </si>
  <si>
    <t>2.62E-06</t>
  </si>
  <si>
    <t>32.37%</t>
  </si>
  <si>
    <t>16.22%</t>
  </si>
  <si>
    <t>9.48</t>
  </si>
  <si>
    <t>169.08</t>
  </si>
  <si>
    <t>5.27E-03</t>
  </si>
  <si>
    <t>2.15%</t>
  </si>
  <si>
    <t>115.03</t>
  </si>
  <si>
    <t>2.06E-06</t>
  </si>
  <si>
    <t>2.28%</t>
  </si>
  <si>
    <t>13.18%</t>
  </si>
  <si>
    <t>0.64</t>
  </si>
  <si>
    <t>39.31%</t>
  </si>
  <si>
    <t>10.78</t>
  </si>
  <si>
    <t>1.20%</t>
  </si>
  <si>
    <t>177.13</t>
  </si>
  <si>
    <t>5.52E-03</t>
  </si>
  <si>
    <t>199.71</t>
  </si>
  <si>
    <t>3.58E-06</t>
  </si>
  <si>
    <t>0.95%</t>
  </si>
  <si>
    <t>0.93</t>
  </si>
  <si>
    <t>10.29%</t>
  </si>
  <si>
    <t>0.67</t>
  </si>
  <si>
    <t>24.02%</t>
  </si>
  <si>
    <t>12.05</t>
  </si>
  <si>
    <t>69.92%</t>
  </si>
  <si>
    <t>10.67</t>
  </si>
  <si>
    <t>128.13</t>
  </si>
  <si>
    <t>4.00E-03</t>
  </si>
  <si>
    <t>2.35%</t>
  </si>
  <si>
    <t>14.40</t>
  </si>
  <si>
    <t>2.58E-07</t>
  </si>
  <si>
    <t>4.12%</t>
  </si>
  <si>
    <t>1.03</t>
  </si>
  <si>
    <t>9.98%</t>
  </si>
  <si>
    <t>0.87</t>
  </si>
  <si>
    <t>12.83%</t>
  </si>
  <si>
    <t>10.93</t>
  </si>
  <si>
    <t>106.12</t>
  </si>
  <si>
    <t>3.31E-03</t>
  </si>
  <si>
    <t>6.48</t>
  </si>
  <si>
    <t>1.16E-07</t>
  </si>
  <si>
    <t>0.62</t>
  </si>
  <si>
    <t>16.27%</t>
  </si>
  <si>
    <t>10.95</t>
  </si>
  <si>
    <t>1.35%</t>
  </si>
  <si>
    <t>131.45</t>
  </si>
  <si>
    <t>4.10E-03</t>
  </si>
  <si>
    <t>142.01</t>
  </si>
  <si>
    <t>2.54E-06</t>
  </si>
  <si>
    <t>2.49%</t>
  </si>
  <si>
    <t>4.25%</t>
  </si>
  <si>
    <t>13.54%</t>
  </si>
  <si>
    <t>2.70%</t>
  </si>
  <si>
    <t>217.50</t>
  </si>
  <si>
    <t>6.78E-03</t>
  </si>
  <si>
    <t>73.25</t>
  </si>
  <si>
    <t>1.01%</t>
  </si>
  <si>
    <t>10.61%</t>
  </si>
  <si>
    <t>48.76%</t>
  </si>
  <si>
    <t>9.06</t>
  </si>
  <si>
    <t>210.99</t>
  </si>
  <si>
    <t>6.58E-03</t>
  </si>
  <si>
    <t>0.91%</t>
  </si>
  <si>
    <t>35.16</t>
  </si>
  <si>
    <t>6.30E-07</t>
  </si>
  <si>
    <t>9.45%</t>
  </si>
  <si>
    <t>0.69</t>
  </si>
  <si>
    <t>20.41%</t>
  </si>
  <si>
    <t>8.56</t>
  </si>
  <si>
    <t>144.87</t>
  </si>
  <si>
    <t>4.52E-03</t>
  </si>
  <si>
    <t>7.94</t>
  </si>
  <si>
    <t>1.42E-07</t>
  </si>
  <si>
    <t>10.06%</t>
  </si>
  <si>
    <t>11.29%</t>
  </si>
  <si>
    <t>5.85</t>
  </si>
  <si>
    <t>9.66%</t>
  </si>
  <si>
    <t>10.33</t>
  </si>
  <si>
    <t>2.02%</t>
  </si>
  <si>
    <t>164.86</t>
  </si>
  <si>
    <t>5.14E-03</t>
  </si>
  <si>
    <t>0.46%</t>
  </si>
  <si>
    <t>4.28</t>
  </si>
  <si>
    <t>7.66E-08</t>
  </si>
  <si>
    <t>14.05%</t>
  </si>
  <si>
    <t>14.43%</t>
  </si>
  <si>
    <t>9.79</t>
  </si>
  <si>
    <t>0.43%</t>
  </si>
  <si>
    <t>145.19</t>
  </si>
  <si>
    <t>4.53E-03</t>
  </si>
  <si>
    <t>2.81</t>
  </si>
  <si>
    <t>5.03E-08</t>
  </si>
  <si>
    <t>14.42%</t>
  </si>
  <si>
    <t>30.31%</t>
  </si>
  <si>
    <t>21.91%</t>
  </si>
  <si>
    <t>9.19</t>
  </si>
  <si>
    <t>1.77%</t>
  </si>
  <si>
    <t>157.04</t>
  </si>
  <si>
    <t>4.90E-03</t>
  </si>
  <si>
    <t>2.71</t>
  </si>
  <si>
    <t>4.86E-08</t>
  </si>
  <si>
    <t>13.42%</t>
  </si>
  <si>
    <t>25.87%</t>
  </si>
  <si>
    <t>9.36</t>
  </si>
  <si>
    <t>225.78</t>
  </si>
  <si>
    <t>7.04E-03</t>
  </si>
  <si>
    <t>9.97</t>
  </si>
  <si>
    <t>1.78E-07</t>
  </si>
  <si>
    <t>10.15%</t>
  </si>
  <si>
    <t>1.37</t>
  </si>
  <si>
    <t>1.89%</t>
  </si>
  <si>
    <t>21.41%</t>
  </si>
  <si>
    <t>9.43</t>
  </si>
  <si>
    <t>232.24</t>
  </si>
  <si>
    <t>7.24E-03</t>
  </si>
  <si>
    <t>0.24%</t>
  </si>
  <si>
    <t>25.07</t>
  </si>
  <si>
    <t>4.49E-07</t>
  </si>
  <si>
    <t>1.34</t>
  </si>
  <si>
    <t>16.12%</t>
  </si>
  <si>
    <t>9.29</t>
  </si>
  <si>
    <t>223.52</t>
  </si>
  <si>
    <t>6.97E-03</t>
  </si>
  <si>
    <t>0.64%</t>
  </si>
  <si>
    <t>15.59</t>
  </si>
  <si>
    <t>2.79E-07</t>
  </si>
  <si>
    <t>4.74%</t>
  </si>
  <si>
    <t>14.69%</t>
  </si>
  <si>
    <t>22.86%</t>
  </si>
  <si>
    <t>8.82</t>
  </si>
  <si>
    <t>0.16%</t>
  </si>
  <si>
    <t>259.15</t>
  </si>
  <si>
    <t>8.08E-03</t>
  </si>
  <si>
    <t>2.00%</t>
  </si>
  <si>
    <t>10.62</t>
  </si>
  <si>
    <t>1.90E-07</t>
  </si>
  <si>
    <t>4.11%</t>
  </si>
  <si>
    <t>42.60</t>
  </si>
  <si>
    <t>2.54%</t>
  </si>
  <si>
    <t>2.09</t>
  </si>
  <si>
    <t>0.61%</t>
  </si>
  <si>
    <t>4.06</t>
  </si>
  <si>
    <t>2.17%</t>
  </si>
  <si>
    <t>242.88</t>
  </si>
  <si>
    <t>7.57E-03</t>
  </si>
  <si>
    <t>1.98%</t>
  </si>
  <si>
    <t>34.83</t>
  </si>
  <si>
    <t>6.24E-07</t>
  </si>
  <si>
    <t>4.79%</t>
  </si>
  <si>
    <t>1.88</t>
  </si>
  <si>
    <t>8.77%</t>
  </si>
  <si>
    <t>291.97</t>
  </si>
  <si>
    <t>9.11E-03</t>
  </si>
  <si>
    <t>0.34%</t>
  </si>
  <si>
    <t>5.09</t>
  </si>
  <si>
    <t>9.12E-08</t>
  </si>
  <si>
    <t>10.47%</t>
  </si>
  <si>
    <t>102.08</t>
  </si>
  <si>
    <t>3.03</t>
  </si>
  <si>
    <t>273.64</t>
  </si>
  <si>
    <t>8.53E-03</t>
  </si>
  <si>
    <t>2.69%</t>
  </si>
  <si>
    <t>8.84</t>
  </si>
  <si>
    <t>1.58E-07</t>
  </si>
  <si>
    <t>8.68%</t>
  </si>
  <si>
    <t>1.62</t>
  </si>
  <si>
    <t>7.86%</t>
  </si>
  <si>
    <t>2.46</t>
  </si>
  <si>
    <t>8.90%</t>
  </si>
  <si>
    <t>5.02%</t>
  </si>
  <si>
    <t>253.63</t>
  </si>
  <si>
    <t>7.91E-03</t>
  </si>
  <si>
    <t>2.65%</t>
  </si>
  <si>
    <t>5.68</t>
  </si>
  <si>
    <t>1.02E-07</t>
  </si>
  <si>
    <t>7.85%</t>
  </si>
  <si>
    <t>1.22</t>
  </si>
  <si>
    <t>10.16%</t>
  </si>
  <si>
    <t>1.60</t>
  </si>
  <si>
    <t>26.28%</t>
  </si>
  <si>
    <t>0.99%</t>
  </si>
  <si>
    <t>278.12</t>
  </si>
  <si>
    <t>1.43%</t>
  </si>
  <si>
    <t>2.58</t>
  </si>
  <si>
    <t>4.61E-08</t>
  </si>
  <si>
    <t>22.27%</t>
  </si>
  <si>
    <t>13.78</t>
  </si>
  <si>
    <t>4.39%</t>
  </si>
  <si>
    <t>4.42%</t>
  </si>
  <si>
    <t>2.41%</t>
  </si>
  <si>
    <t>266.51</t>
  </si>
  <si>
    <t>8.31E-03</t>
  </si>
  <si>
    <t>3.31%</t>
  </si>
  <si>
    <t>12.51</t>
  </si>
  <si>
    <t>2.24E-07</t>
  </si>
  <si>
    <t>1.05</t>
  </si>
  <si>
    <t>11.99%</t>
  </si>
  <si>
    <t>1.52</t>
  </si>
  <si>
    <t>6.78%</t>
  </si>
  <si>
    <t>3.67</t>
  </si>
  <si>
    <t>256.91</t>
  </si>
  <si>
    <t>8.01E-03</t>
  </si>
  <si>
    <t>1.02%</t>
  </si>
  <si>
    <t>11.25</t>
  </si>
  <si>
    <t>2.01E-07</t>
  </si>
  <si>
    <t>6.98%</t>
  </si>
  <si>
    <t>4.13</t>
  </si>
  <si>
    <t>6.21%</t>
  </si>
  <si>
    <t>14.98%</t>
  </si>
  <si>
    <t>1.35</t>
  </si>
  <si>
    <t>261.37</t>
  </si>
  <si>
    <t>8.15E-03</t>
  </si>
  <si>
    <t>0.45%</t>
  </si>
  <si>
    <t>8.34</t>
  </si>
  <si>
    <t>1.49E-07</t>
  </si>
  <si>
    <t>4.94%</t>
  </si>
  <si>
    <t>20.39%</t>
  </si>
  <si>
    <t>5.26%</t>
  </si>
  <si>
    <t>1.14</t>
  </si>
  <si>
    <t>7.11%</t>
  </si>
  <si>
    <t>247.56</t>
  </si>
  <si>
    <t>7.72E-03</t>
  </si>
  <si>
    <t>11.63</t>
  </si>
  <si>
    <t>2.08E-07</t>
  </si>
  <si>
    <t>7.56%</t>
  </si>
  <si>
    <t>0.54</t>
  </si>
  <si>
    <t>13.13%</t>
  </si>
  <si>
    <t>1.46</t>
  </si>
  <si>
    <t>3.45%</t>
  </si>
  <si>
    <t>240.43</t>
  </si>
  <si>
    <t>7.50E-03</t>
  </si>
  <si>
    <t>2.81%</t>
  </si>
  <si>
    <t>16.56</t>
  </si>
  <si>
    <t>2.97E-07</t>
  </si>
  <si>
    <t>3.65%</t>
  </si>
  <si>
    <t>30.54%</t>
  </si>
  <si>
    <t>4.66</t>
  </si>
  <si>
    <t>280.38</t>
  </si>
  <si>
    <t>8.74E-03</t>
  </si>
  <si>
    <t>1.39%</t>
  </si>
  <si>
    <t>3.55</t>
  </si>
  <si>
    <t>6.36E-08</t>
  </si>
  <si>
    <t>10.91%</t>
  </si>
  <si>
    <t>18.81%</t>
  </si>
  <si>
    <t>3.78%</t>
  </si>
  <si>
    <t>1.21</t>
  </si>
  <si>
    <t>7.45%</t>
  </si>
  <si>
    <t>167.76</t>
  </si>
  <si>
    <t>5.23E-03</t>
  </si>
  <si>
    <t>1.73%</t>
  </si>
  <si>
    <t>188.34</t>
  </si>
  <si>
    <t>3.37E-06</t>
  </si>
  <si>
    <t>1.58%</t>
  </si>
  <si>
    <t>13.61%</t>
  </si>
  <si>
    <t>10.76%</t>
  </si>
  <si>
    <t>0.83</t>
  </si>
  <si>
    <t>5.38%</t>
  </si>
  <si>
    <t>185.00</t>
  </si>
  <si>
    <t>15.18%</t>
  </si>
  <si>
    <t>9.42</t>
  </si>
  <si>
    <t>160.69</t>
  </si>
  <si>
    <t>3.72%</t>
  </si>
  <si>
    <t>114.39</t>
  </si>
  <si>
    <t>2.05E-06</t>
  </si>
  <si>
    <t>24.11%</t>
  </si>
  <si>
    <t>17.07%</t>
  </si>
  <si>
    <t>10.80</t>
  </si>
  <si>
    <t>180.24</t>
  </si>
  <si>
    <t>5.62E-03</t>
  </si>
  <si>
    <t>3.19%</t>
  </si>
  <si>
    <t>177.18</t>
  </si>
  <si>
    <t>3.17E-06</t>
  </si>
  <si>
    <t>1.53</t>
  </si>
  <si>
    <t>14.33%</t>
  </si>
  <si>
    <t>19.06%</t>
  </si>
  <si>
    <t>10.32</t>
  </si>
  <si>
    <t>1.65%</t>
  </si>
  <si>
    <t>114.33</t>
  </si>
  <si>
    <t>3.57E-03</t>
  </si>
  <si>
    <t>4.15%</t>
  </si>
  <si>
    <t>8.41</t>
  </si>
  <si>
    <t>10.09%</t>
  </si>
  <si>
    <t>1.10</t>
  </si>
  <si>
    <t>17.97%</t>
  </si>
  <si>
    <t>0.56</t>
  </si>
  <si>
    <t>14.82%</t>
  </si>
  <si>
    <t>11.27</t>
  </si>
  <si>
    <t>92.83</t>
  </si>
  <si>
    <t>2.90E-03</t>
  </si>
  <si>
    <t>5.79</t>
  </si>
  <si>
    <t>1.04E-07</t>
  </si>
  <si>
    <t>17.66%</t>
  </si>
  <si>
    <t>0.94</t>
  </si>
  <si>
    <t>21.27%</t>
  </si>
  <si>
    <t>39.99%</t>
  </si>
  <si>
    <t>11.12</t>
  </si>
  <si>
    <t>2.90%</t>
  </si>
  <si>
    <t>121.85</t>
  </si>
  <si>
    <t>3.80E-03</t>
  </si>
  <si>
    <t>16.70</t>
  </si>
  <si>
    <t>2.99E-07</t>
  </si>
  <si>
    <t>1.19</t>
  </si>
  <si>
    <t>5.68%</t>
  </si>
  <si>
    <t>17.76%</t>
  </si>
  <si>
    <t>10.61</t>
  </si>
  <si>
    <t>216.31</t>
  </si>
  <si>
    <t>6.75E-03</t>
  </si>
  <si>
    <t>52.76</t>
  </si>
  <si>
    <t>9.45E-07</t>
  </si>
  <si>
    <t>3.42%</t>
  </si>
  <si>
    <t>19.91%</t>
  </si>
  <si>
    <t>1.47</t>
  </si>
  <si>
    <t>7.07%</t>
  </si>
  <si>
    <t>9.17</t>
  </si>
  <si>
    <t>217.61</t>
  </si>
  <si>
    <t>6.79E-03</t>
  </si>
  <si>
    <t>102.40</t>
  </si>
  <si>
    <t>0.47%</t>
  </si>
  <si>
    <t>17.31%</t>
  </si>
  <si>
    <t>8.15%</t>
  </si>
  <si>
    <t>8.75</t>
  </si>
  <si>
    <t>2.06%</t>
  </si>
  <si>
    <t>138.92</t>
  </si>
  <si>
    <t>4.33E-03</t>
  </si>
  <si>
    <t>3.01%</t>
  </si>
  <si>
    <t>13.65</t>
  </si>
  <si>
    <t>2.44E-07</t>
  </si>
  <si>
    <t>5.12%</t>
  </si>
  <si>
    <t>0.89</t>
  </si>
  <si>
    <t>11.45%</t>
  </si>
  <si>
    <t>2.80%</t>
  </si>
  <si>
    <t>9.84</t>
  </si>
  <si>
    <t>157.36</t>
  </si>
  <si>
    <t>4.91E-03</t>
  </si>
  <si>
    <t>1.40%</t>
  </si>
  <si>
    <t>2.02</t>
  </si>
  <si>
    <t>3.61E-08</t>
  </si>
  <si>
    <t>20.12%</t>
  </si>
  <si>
    <t>21.13%</t>
  </si>
  <si>
    <t>33.68%</t>
  </si>
  <si>
    <t>9.77</t>
  </si>
  <si>
    <t>135.62</t>
  </si>
  <si>
    <t>4.23E-03</t>
  </si>
  <si>
    <t>4.92%</t>
  </si>
  <si>
    <t>9.35%</t>
  </si>
  <si>
    <t>30.11%</t>
  </si>
  <si>
    <t>146.58</t>
  </si>
  <si>
    <t>4.57E-03</t>
  </si>
  <si>
    <t>7.75</t>
  </si>
  <si>
    <t>1.39E-07</t>
  </si>
  <si>
    <t>3.61%</t>
  </si>
  <si>
    <t>8.18%</t>
  </si>
  <si>
    <t>10.00%</t>
  </si>
  <si>
    <t>2.30%</t>
  </si>
  <si>
    <t>207.84</t>
  </si>
  <si>
    <t>6.48E-03</t>
  </si>
  <si>
    <t>6.59</t>
  </si>
  <si>
    <t>20.51%</t>
  </si>
  <si>
    <t>9.71</t>
  </si>
  <si>
    <t>211.66</t>
  </si>
  <si>
    <t>6.60E-03</t>
  </si>
  <si>
    <t>1.23%</t>
  </si>
  <si>
    <t>34.28</t>
  </si>
  <si>
    <t>6.14E-07</t>
  </si>
  <si>
    <t>6.80</t>
  </si>
  <si>
    <t>3.63%</t>
  </si>
  <si>
    <t>0.95</t>
  </si>
  <si>
    <t>18.83%</t>
  </si>
  <si>
    <t>1430.87</t>
  </si>
  <si>
    <t>9.09</t>
  </si>
  <si>
    <t>207.01</t>
  </si>
  <si>
    <t>6.46E-03</t>
  </si>
  <si>
    <t>0.19%</t>
  </si>
  <si>
    <t>9.20</t>
  </si>
  <si>
    <t>1.65E-07</t>
  </si>
  <si>
    <t>5.64%</t>
  </si>
  <si>
    <t>1.96</t>
  </si>
  <si>
    <t>16.60%</t>
  </si>
  <si>
    <t>8.81</t>
  </si>
  <si>
    <t>265.34</t>
  </si>
  <si>
    <t>8.28E-03</t>
  </si>
  <si>
    <t>1.16%</t>
  </si>
  <si>
    <t>11.16</t>
  </si>
  <si>
    <t>2.00E-07</t>
  </si>
  <si>
    <t>1.68%</t>
  </si>
  <si>
    <t>18.98</t>
  </si>
  <si>
    <t>4.18%</t>
  </si>
  <si>
    <t>80.57</t>
  </si>
  <si>
    <t>4.02</t>
  </si>
  <si>
    <t>251.96</t>
  </si>
  <si>
    <t>7.86E-03</t>
  </si>
  <si>
    <t>1.88E-07</t>
  </si>
  <si>
    <t>5.65%</t>
  </si>
  <si>
    <t>2.93</t>
  </si>
  <si>
    <t>20.53%</t>
  </si>
  <si>
    <t>4.93</t>
  </si>
  <si>
    <t>1.51%</t>
  </si>
  <si>
    <t>292.31</t>
  </si>
  <si>
    <t>9.12E-03</t>
  </si>
  <si>
    <t>2.75%</t>
  </si>
  <si>
    <t>4.30</t>
  </si>
  <si>
    <t>7.70E-08</t>
  </si>
  <si>
    <t>12.34%</t>
  </si>
  <si>
    <t>77.11</t>
  </si>
  <si>
    <t>2.91</t>
  </si>
  <si>
    <t>1.67%</t>
  </si>
  <si>
    <t>7.02%</t>
  </si>
  <si>
    <t>287.32</t>
  </si>
  <si>
    <t>8.96E-03</t>
  </si>
  <si>
    <t>3.62</t>
  </si>
  <si>
    <t>6.49E-08</t>
  </si>
  <si>
    <t>8.32%</t>
  </si>
  <si>
    <t>1.29</t>
  </si>
  <si>
    <t>7.81%</t>
  </si>
  <si>
    <t>3.85%</t>
  </si>
  <si>
    <t>3.53%</t>
  </si>
  <si>
    <t>268.71</t>
  </si>
  <si>
    <t>8.38E-03</t>
  </si>
  <si>
    <t>8.30</t>
  </si>
  <si>
    <t>10.11%</t>
  </si>
  <si>
    <t>14.00%</t>
  </si>
  <si>
    <t>3.08</t>
  </si>
  <si>
    <t>3.24%</t>
  </si>
  <si>
    <t>294.41</t>
  </si>
  <si>
    <t>9.18E-03</t>
  </si>
  <si>
    <t>8.88E-08</t>
  </si>
  <si>
    <t>105.15</t>
  </si>
  <si>
    <t>4.26</t>
  </si>
  <si>
    <t>3.08%</t>
  </si>
  <si>
    <t>271.07</t>
  </si>
  <si>
    <t>8.45E-03</t>
  </si>
  <si>
    <t>10.14</t>
  </si>
  <si>
    <t>1.82E-07</t>
  </si>
  <si>
    <t>9.13%</t>
  </si>
  <si>
    <t>1.42</t>
  </si>
  <si>
    <t>3.22</t>
  </si>
  <si>
    <t>0.31%</t>
  </si>
  <si>
    <t>265.99</t>
  </si>
  <si>
    <t>8.30E-03</t>
  </si>
  <si>
    <t>19.61</t>
  </si>
  <si>
    <t>3.51E-07</t>
  </si>
  <si>
    <t>4.97%</t>
  </si>
  <si>
    <t>6.60</t>
  </si>
  <si>
    <t>4.21%</t>
  </si>
  <si>
    <t>5.18%</t>
  </si>
  <si>
    <t>3.52</t>
  </si>
  <si>
    <t>11.35%</t>
  </si>
  <si>
    <t>5.59%</t>
  </si>
  <si>
    <t>265.09</t>
  </si>
  <si>
    <t>0.80%</t>
  </si>
  <si>
    <t>23.40</t>
  </si>
  <si>
    <t>4.19E-07</t>
  </si>
  <si>
    <t>2.69</t>
  </si>
  <si>
    <t>3.16</t>
  </si>
  <si>
    <t>2.38%</t>
  </si>
  <si>
    <t>3.86%</t>
  </si>
  <si>
    <t>257.29</t>
  </si>
  <si>
    <t>8.02E-03</t>
  </si>
  <si>
    <t>1.54%</t>
  </si>
  <si>
    <t>11.59</t>
  </si>
  <si>
    <t>3.37%</t>
  </si>
  <si>
    <t>21.98%</t>
  </si>
  <si>
    <t>2.13</t>
  </si>
  <si>
    <t>9.12%</t>
  </si>
  <si>
    <t>2.38</t>
  </si>
  <si>
    <t>4.17%</t>
  </si>
  <si>
    <t>481.58</t>
  </si>
  <si>
    <t>1.50E-02</t>
  </si>
  <si>
    <t>1.93%</t>
  </si>
  <si>
    <t>19.91</t>
  </si>
  <si>
    <t>3.56E-07</t>
  </si>
  <si>
    <t>4.56%</t>
  </si>
  <si>
    <t>13.11%</t>
  </si>
  <si>
    <t>3.13</t>
  </si>
  <si>
    <t>5.30%</t>
  </si>
  <si>
    <t>3.39</t>
  </si>
  <si>
    <t>238.60</t>
  </si>
  <si>
    <t>7.44E-03</t>
  </si>
  <si>
    <t>3.99</t>
  </si>
  <si>
    <t>7.14E-08</t>
  </si>
  <si>
    <t>7.82%</t>
  </si>
  <si>
    <t>10.56%</t>
  </si>
  <si>
    <t>3.10</t>
  </si>
  <si>
    <t>7.61%</t>
  </si>
  <si>
    <t>171.40</t>
  </si>
  <si>
    <t>11.95%</t>
  </si>
  <si>
    <t>169.44</t>
  </si>
  <si>
    <t>5.28E-03</t>
  </si>
  <si>
    <t>0.20%</t>
  </si>
  <si>
    <t>182.31</t>
  </si>
  <si>
    <t>3.26E-06</t>
  </si>
  <si>
    <t>0.13%</t>
  </si>
  <si>
    <t>1.48</t>
  </si>
  <si>
    <t>13.19%</t>
  </si>
  <si>
    <t>10.05%</t>
  </si>
  <si>
    <t>9.54</t>
  </si>
  <si>
    <t>164.58</t>
  </si>
  <si>
    <t>5.13E-03</t>
  </si>
  <si>
    <t>0.58%</t>
  </si>
  <si>
    <t>133.01</t>
  </si>
  <si>
    <t>2.38E-06</t>
  </si>
  <si>
    <t>2.26%</t>
  </si>
  <si>
    <t>1.74</t>
  </si>
  <si>
    <t>11.27%</t>
  </si>
  <si>
    <t>8.40%</t>
  </si>
  <si>
    <t>188.89</t>
  </si>
  <si>
    <t>5.89E-03</t>
  </si>
  <si>
    <t>446.85</t>
  </si>
  <si>
    <t>8.00E-06</t>
  </si>
  <si>
    <t>20.34%</t>
  </si>
  <si>
    <t>1.36</t>
  </si>
  <si>
    <t>25.67%</t>
  </si>
  <si>
    <t>10.46</t>
  </si>
  <si>
    <t>3.05%</t>
  </si>
  <si>
    <t>107.20</t>
  </si>
  <si>
    <t>3.34E-03</t>
  </si>
  <si>
    <t>11.02</t>
  </si>
  <si>
    <t>1.97E-07</t>
  </si>
  <si>
    <t>6.32%</t>
  </si>
  <si>
    <t>1.43</t>
  </si>
  <si>
    <t>14.96%</t>
  </si>
  <si>
    <t>11.30</t>
  </si>
  <si>
    <t>1.61%</t>
  </si>
  <si>
    <t>90.15</t>
  </si>
  <si>
    <t>2.81E-03</t>
  </si>
  <si>
    <t>1.45%</t>
  </si>
  <si>
    <t>8.45</t>
  </si>
  <si>
    <t>10.53%</t>
  </si>
  <si>
    <t>15.07%</t>
  </si>
  <si>
    <t>17.21%</t>
  </si>
  <si>
    <t>10.99</t>
  </si>
  <si>
    <t>117.79</t>
  </si>
  <si>
    <t>1.92%</t>
  </si>
  <si>
    <t>13.49</t>
  </si>
  <si>
    <t>2.41E-07</t>
  </si>
  <si>
    <t>17.22%</t>
  </si>
  <si>
    <t>1.33</t>
  </si>
  <si>
    <t>20.47%</t>
  </si>
  <si>
    <t>219.73</t>
  </si>
  <si>
    <t>6.85E-03</t>
  </si>
  <si>
    <t>49.54</t>
  </si>
  <si>
    <t>8.87E-07</t>
  </si>
  <si>
    <t>1.59</t>
  </si>
  <si>
    <t>22.24%</t>
  </si>
  <si>
    <t>19.03%</t>
  </si>
  <si>
    <t>216.49</t>
  </si>
  <si>
    <t>57.16</t>
  </si>
  <si>
    <t>1.02E-06</t>
  </si>
  <si>
    <t>20.56%</t>
  </si>
  <si>
    <t>19.29%</t>
  </si>
  <si>
    <t>8.40</t>
  </si>
  <si>
    <t>154.52</t>
  </si>
  <si>
    <t>32.48</t>
  </si>
  <si>
    <t>5.82E-07</t>
  </si>
  <si>
    <t>7.36%</t>
  </si>
  <si>
    <t>40.74</t>
  </si>
  <si>
    <t>1.74%</t>
  </si>
  <si>
    <t>9.94</t>
  </si>
  <si>
    <t>155.18</t>
  </si>
  <si>
    <t>4.84E-03</t>
  </si>
  <si>
    <t>3.58%</t>
  </si>
  <si>
    <t>63.69</t>
  </si>
  <si>
    <t>1.14E-06</t>
  </si>
  <si>
    <t>2.16%</t>
  </si>
  <si>
    <t>2.83</t>
  </si>
  <si>
    <t>1.04</t>
  </si>
  <si>
    <t>9.72</t>
  </si>
  <si>
    <t>2.63%</t>
  </si>
  <si>
    <t>137.97</t>
  </si>
  <si>
    <t>4.30E-03</t>
  </si>
  <si>
    <t>1.63%</t>
  </si>
  <si>
    <t>15.62</t>
  </si>
  <si>
    <t>2.80E-07</t>
  </si>
  <si>
    <t>4.75%</t>
  </si>
  <si>
    <t>0.92</t>
  </si>
  <si>
    <t>20.27%</t>
  </si>
  <si>
    <t>14.60%</t>
  </si>
  <si>
    <t>38.33%</t>
  </si>
  <si>
    <t>0.65%</t>
  </si>
  <si>
    <t>145.10</t>
  </si>
  <si>
    <t>1.06%</t>
  </si>
  <si>
    <t>5.01</t>
  </si>
  <si>
    <t>8.96E-08</t>
  </si>
  <si>
    <t>7.51%</t>
  </si>
  <si>
    <t>6.73%</t>
  </si>
  <si>
    <t>26.57%</t>
  </si>
  <si>
    <t>8.99</t>
  </si>
  <si>
    <t>3.11%</t>
  </si>
  <si>
    <t>203.91</t>
  </si>
  <si>
    <t>6.36E-03</t>
  </si>
  <si>
    <t>1.85%</t>
  </si>
  <si>
    <t>4.81</t>
  </si>
  <si>
    <t>8.61E-08</t>
  </si>
  <si>
    <t>3.93%</t>
  </si>
  <si>
    <t>24.60%</t>
  </si>
  <si>
    <t>9.28</t>
  </si>
  <si>
    <t>203.66</t>
  </si>
  <si>
    <t>6.35E-03</t>
  </si>
  <si>
    <t>0.38%</t>
  </si>
  <si>
    <t>7.06</t>
  </si>
  <si>
    <t>1.26E-07</t>
  </si>
  <si>
    <t>12.81%</t>
  </si>
  <si>
    <t>23.18%</t>
  </si>
  <si>
    <t>13.62%</t>
  </si>
  <si>
    <t>9.27</t>
  </si>
  <si>
    <t>1.62%</t>
  </si>
  <si>
    <t>200.37</t>
  </si>
  <si>
    <t>6.25E-03</t>
  </si>
  <si>
    <t>5.38</t>
  </si>
  <si>
    <t>9.63E-08</t>
  </si>
  <si>
    <t>9.38%</t>
  </si>
  <si>
    <t>16.13%</t>
  </si>
  <si>
    <t>21.22%</t>
  </si>
  <si>
    <t>9.38</t>
  </si>
  <si>
    <t>269.50</t>
  </si>
  <si>
    <t>8.40E-03</t>
  </si>
  <si>
    <t>3.20%</t>
  </si>
  <si>
    <t>14.15</t>
  </si>
  <si>
    <t>2.53E-07</t>
  </si>
  <si>
    <t>7.09%</t>
  </si>
  <si>
    <t>13.24</t>
  </si>
  <si>
    <t>1.93</t>
  </si>
  <si>
    <t>4.26%</t>
  </si>
  <si>
    <t>255.45</t>
  </si>
  <si>
    <t>7.97E-03</t>
  </si>
  <si>
    <t>70.46</t>
  </si>
  <si>
    <t>1.26E-06</t>
  </si>
  <si>
    <t>2.30</t>
  </si>
  <si>
    <t>18.32%</t>
  </si>
  <si>
    <t>4.63</t>
  </si>
  <si>
    <t>299.79</t>
  </si>
  <si>
    <t>9.35E-03</t>
  </si>
  <si>
    <t>2.61</t>
  </si>
  <si>
    <t>4.68E-08</t>
  </si>
  <si>
    <t>21.81%</t>
  </si>
  <si>
    <t>61.40</t>
  </si>
  <si>
    <t>5.20%</t>
  </si>
  <si>
    <t>2.66</t>
  </si>
  <si>
    <t>1.79%</t>
  </si>
  <si>
    <t>14.51%</t>
  </si>
  <si>
    <t>287.24</t>
  </si>
  <si>
    <t>4.07</t>
  </si>
  <si>
    <t>7.29E-08</t>
  </si>
  <si>
    <t>4.69%</t>
  </si>
  <si>
    <t>1.24</t>
  </si>
  <si>
    <t>11.80%</t>
  </si>
  <si>
    <t>2.89</t>
  </si>
  <si>
    <t>1.30</t>
  </si>
  <si>
    <t>9.01%</t>
  </si>
  <si>
    <t>262.74</t>
  </si>
  <si>
    <t>8.19E-03</t>
  </si>
  <si>
    <t>2.01%</t>
  </si>
  <si>
    <t>4.76</t>
  </si>
  <si>
    <t>8.52E-08</t>
  </si>
  <si>
    <t>17.90%</t>
  </si>
  <si>
    <t>14.52%</t>
  </si>
  <si>
    <t>5.97%</t>
  </si>
  <si>
    <t>2.77%</t>
  </si>
  <si>
    <t>298.79</t>
  </si>
  <si>
    <t>9.32E-03</t>
  </si>
  <si>
    <t>3.12%</t>
  </si>
  <si>
    <t>6.64</t>
  </si>
  <si>
    <t>1.19E-07</t>
  </si>
  <si>
    <t>13.70%</t>
  </si>
  <si>
    <t>32.31</t>
  </si>
  <si>
    <t>3.94%</t>
  </si>
  <si>
    <t>0.60</t>
  </si>
  <si>
    <t>12.48%</t>
  </si>
  <si>
    <t>11.09%</t>
  </si>
  <si>
    <t>270.66</t>
  </si>
  <si>
    <t>8.44E-03</t>
  </si>
  <si>
    <t>1.36%</t>
  </si>
  <si>
    <t>12.95</t>
  </si>
  <si>
    <t>2.32E-07</t>
  </si>
  <si>
    <t>25.48%</t>
  </si>
  <si>
    <t>1.13</t>
  </si>
  <si>
    <t>3.75</t>
  </si>
  <si>
    <t>265.67</t>
  </si>
  <si>
    <t>4.74</t>
  </si>
  <si>
    <t>8.49E-08</t>
  </si>
  <si>
    <t>10.57%</t>
  </si>
  <si>
    <t>7.25%</t>
  </si>
  <si>
    <t>2.20</t>
  </si>
  <si>
    <t>257.46</t>
  </si>
  <si>
    <t>1.52%</t>
  </si>
  <si>
    <t>5.70</t>
  </si>
  <si>
    <t>2.27%</t>
  </si>
  <si>
    <t>7.13%</t>
  </si>
  <si>
    <t>2.36</t>
  </si>
  <si>
    <t>11.05%</t>
  </si>
  <si>
    <t>1.18%</t>
  </si>
  <si>
    <t>254.77</t>
  </si>
  <si>
    <t>7.95E-03</t>
  </si>
  <si>
    <t>2.36%</t>
  </si>
  <si>
    <t>10.97</t>
  </si>
  <si>
    <t>1.96E-07</t>
  </si>
  <si>
    <t>30.36%</t>
  </si>
  <si>
    <t>1.97</t>
  </si>
  <si>
    <t>5.58%</t>
  </si>
  <si>
    <t>3.79</t>
  </si>
  <si>
    <t>253.87</t>
  </si>
  <si>
    <t>7.92E-03</t>
  </si>
  <si>
    <t>26.63</t>
  </si>
  <si>
    <t>4.77E-07</t>
  </si>
  <si>
    <t>1.30%</t>
  </si>
  <si>
    <t>13.44%</t>
  </si>
  <si>
    <t>0.35</t>
  </si>
  <si>
    <t>2.19</t>
  </si>
  <si>
    <t>0.86%</t>
  </si>
  <si>
    <t>292.29</t>
  </si>
  <si>
    <t>7.30E-08</t>
  </si>
  <si>
    <t>12.27%</t>
  </si>
  <si>
    <t>5.67%</t>
  </si>
  <si>
    <t>1.15</t>
  </si>
  <si>
    <t>M_Fe</t>
  </si>
  <si>
    <t>Difference between 1. and 5 measurement</t>
  </si>
  <si>
    <t>S</t>
  </si>
  <si>
    <t>Fe</t>
  </si>
  <si>
    <t>R1</t>
  </si>
  <si>
    <t>-1.97E-03</t>
  </si>
  <si>
    <t>R2</t>
  </si>
  <si>
    <t>-1.73E-03</t>
  </si>
  <si>
    <t>R3</t>
  </si>
  <si>
    <t>0.119905885</t>
  </si>
  <si>
    <t>-6.42E-03</t>
  </si>
  <si>
    <t>R4</t>
  </si>
  <si>
    <t>6.80E-04</t>
  </si>
  <si>
    <t>R5</t>
  </si>
  <si>
    <t>3.52E-04</t>
  </si>
  <si>
    <t>R6</t>
  </si>
  <si>
    <t>6.91E-04</t>
  </si>
  <si>
    <t>R7</t>
  </si>
  <si>
    <t>0.109452108</t>
  </si>
  <si>
    <t>1.88E-04</t>
  </si>
  <si>
    <t>R8</t>
  </si>
  <si>
    <t>0.369360047</t>
  </si>
  <si>
    <t>-6.49E-04</t>
  </si>
  <si>
    <t>R9</t>
  </si>
  <si>
    <t>-1.00E-04</t>
  </si>
  <si>
    <t>R10</t>
  </si>
  <si>
    <t>-9.14E-04</t>
  </si>
  <si>
    <t>R11</t>
  </si>
  <si>
    <t>3.26E-05</t>
  </si>
  <si>
    <t>R12</t>
  </si>
  <si>
    <t>2.06E-04</t>
  </si>
  <si>
    <t>R13</t>
  </si>
  <si>
    <t>9.99E-04</t>
  </si>
  <si>
    <t>R14</t>
  </si>
  <si>
    <t>8.34E-04</t>
  </si>
  <si>
    <t>R15</t>
  </si>
  <si>
    <t>7.38E-04</t>
  </si>
  <si>
    <t>B1</t>
  </si>
  <si>
    <t>-0.667</t>
  </si>
  <si>
    <t>1.15E-04</t>
  </si>
  <si>
    <t>B2</t>
  </si>
  <si>
    <t>-1.23E-03</t>
  </si>
  <si>
    <t>B3</t>
  </si>
  <si>
    <t>-0.415</t>
  </si>
  <si>
    <t>4.30E-05</t>
  </si>
  <si>
    <t>B4</t>
  </si>
  <si>
    <t>-0.830</t>
  </si>
  <si>
    <t>1.38E-05</t>
  </si>
  <si>
    <t>B5</t>
  </si>
  <si>
    <t>-0.796</t>
  </si>
  <si>
    <t>8.05E-05</t>
  </si>
  <si>
    <t>B6</t>
  </si>
  <si>
    <t>-0.857</t>
  </si>
  <si>
    <t>-2.48E-05</t>
  </si>
  <si>
    <t>B7</t>
  </si>
  <si>
    <t>-0.407</t>
  </si>
  <si>
    <t>1.80E-04</t>
  </si>
  <si>
    <t>B8</t>
  </si>
  <si>
    <t>0.004</t>
  </si>
  <si>
    <t>1.92E-04</t>
  </si>
  <si>
    <t>B9</t>
  </si>
  <si>
    <t>0.044</t>
  </si>
  <si>
    <t>3.66E-04</t>
  </si>
  <si>
    <t>B10</t>
  </si>
  <si>
    <t>-0.243</t>
  </si>
  <si>
    <t>5.27E-04</t>
  </si>
  <si>
    <t>B11</t>
  </si>
  <si>
    <t>-0.833</t>
  </si>
  <si>
    <t>1.75E-05</t>
  </si>
  <si>
    <t>B12</t>
  </si>
  <si>
    <t>-0.746</t>
  </si>
  <si>
    <t>3.73E-05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</si>
</sst>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indexed="64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0" xfId="1"/>
    <xf numFmtId="20" fontId="2" fillId="0" borderId="0" xfId="1" applyNumberFormat="1"/>
    <xf numFmtId="0" fontId="0" fillId="0" borderId="13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4" borderId="9" xfId="0" applyFill="1" applyBorder="1"/>
    <xf numFmtId="0" fontId="0" fillId="4" borderId="14" xfId="0" applyFill="1" applyBorder="1"/>
    <xf numFmtId="0" fontId="0" fillId="0" borderId="23" xfId="0" applyBorder="1"/>
    <xf numFmtId="0" fontId="0" fillId="2" borderId="24" xfId="0" applyFill="1" applyBorder="1"/>
    <xf numFmtId="0" fontId="0" fillId="2" borderId="20" xfId="0" applyFill="1" applyBorder="1"/>
    <xf numFmtId="0" fontId="0" fillId="2" borderId="25" xfId="0" applyFill="1" applyBorder="1"/>
    <xf numFmtId="0" fontId="0" fillId="2" borderId="26" xfId="0" applyFill="1" applyBorder="1"/>
    <xf numFmtId="0" fontId="0" fillId="0" borderId="28" xfId="0" applyBorder="1"/>
    <xf numFmtId="0" fontId="0" fillId="0" borderId="33" xfId="0" applyBorder="1"/>
    <xf numFmtId="0" fontId="0" fillId="0" borderId="27" xfId="0" applyBorder="1"/>
    <xf numFmtId="0" fontId="2" fillId="0" borderId="28" xfId="1" applyBorder="1"/>
    <xf numFmtId="0" fontId="2" fillId="0" borderId="33" xfId="1" applyBorder="1"/>
    <xf numFmtId="0" fontId="2" fillId="0" borderId="27" xfId="1" applyBorder="1"/>
    <xf numFmtId="0" fontId="2" fillId="0" borderId="30" xfId="1" applyBorder="1"/>
    <xf numFmtId="0" fontId="2" fillId="0" borderId="16" xfId="1" applyBorder="1"/>
    <xf numFmtId="0" fontId="0" fillId="0" borderId="30" xfId="0" applyBorder="1"/>
    <xf numFmtId="0" fontId="4" fillId="0" borderId="1" xfId="0" applyFont="1" applyBorder="1"/>
    <xf numFmtId="0" fontId="0" fillId="3" borderId="14" xfId="0" applyFill="1" applyBorder="1"/>
    <xf numFmtId="0" fontId="0" fillId="3" borderId="36" xfId="0" applyFill="1" applyBorder="1"/>
    <xf numFmtId="0" fontId="0" fillId="0" borderId="17" xfId="0" applyBorder="1"/>
    <xf numFmtId="0" fontId="0" fillId="4" borderId="36" xfId="0" applyFill="1" applyBorder="1"/>
    <xf numFmtId="0" fontId="4" fillId="0" borderId="13" xfId="0" applyFont="1" applyBorder="1"/>
    <xf numFmtId="0" fontId="4" fillId="0" borderId="3" xfId="0" applyFont="1" applyBorder="1"/>
    <xf numFmtId="11" fontId="0" fillId="0" borderId="0" xfId="0" applyNumberFormat="1"/>
    <xf numFmtId="0" fontId="6" fillId="0" borderId="0" xfId="0" quotePrefix="1" applyFont="1"/>
    <xf numFmtId="0" fontId="3" fillId="0" borderId="0" xfId="0" applyFont="1"/>
    <xf numFmtId="11" fontId="0" fillId="0" borderId="1" xfId="0" applyNumberFormat="1" applyBorder="1"/>
    <xf numFmtId="0" fontId="4" fillId="0" borderId="7" xfId="0" applyFont="1" applyBorder="1"/>
    <xf numFmtId="0" fontId="0" fillId="0" borderId="7" xfId="0" applyBorder="1"/>
    <xf numFmtId="0" fontId="0" fillId="0" borderId="8" xfId="0" applyBorder="1"/>
    <xf numFmtId="0" fontId="0" fillId="3" borderId="11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38" xfId="0" applyFill="1" applyBorder="1"/>
    <xf numFmtId="0" fontId="0" fillId="3" borderId="39" xfId="0" applyFill="1" applyBorder="1"/>
    <xf numFmtId="0" fontId="4" fillId="6" borderId="40" xfId="0" applyFont="1" applyFill="1" applyBorder="1"/>
    <xf numFmtId="0" fontId="4" fillId="6" borderId="41" xfId="0" applyFont="1" applyFill="1" applyBorder="1"/>
    <xf numFmtId="0" fontId="4" fillId="6" borderId="33" xfId="0" applyFont="1" applyFill="1" applyBorder="1"/>
    <xf numFmtId="0" fontId="4" fillId="6" borderId="5" xfId="0" applyFont="1" applyFill="1" applyBorder="1" applyAlignment="1">
      <alignment horizontal="left"/>
    </xf>
    <xf numFmtId="0" fontId="4" fillId="6" borderId="10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0" fillId="0" borderId="36" xfId="0" applyBorder="1"/>
    <xf numFmtId="11" fontId="0" fillId="0" borderId="13" xfId="0" applyNumberFormat="1" applyBorder="1"/>
    <xf numFmtId="0" fontId="0" fillId="0" borderId="14" xfId="0" applyBorder="1"/>
    <xf numFmtId="0" fontId="0" fillId="0" borderId="9" xfId="0" applyBorder="1"/>
    <xf numFmtId="0" fontId="4" fillId="0" borderId="14" xfId="0" applyFont="1" applyBorder="1"/>
    <xf numFmtId="0" fontId="4" fillId="0" borderId="36" xfId="0" applyFont="1" applyBorder="1"/>
    <xf numFmtId="0" fontId="4" fillId="0" borderId="8" xfId="0" applyFont="1" applyBorder="1"/>
    <xf numFmtId="0" fontId="4" fillId="6" borderId="38" xfId="0" applyFont="1" applyFill="1" applyBorder="1" applyAlignment="1">
      <alignment horizontal="left"/>
    </xf>
    <xf numFmtId="0" fontId="4" fillId="0" borderId="9" xfId="0" applyFont="1" applyBorder="1"/>
    <xf numFmtId="0" fontId="0" fillId="2" borderId="43" xfId="0" applyFill="1" applyBorder="1"/>
    <xf numFmtId="0" fontId="0" fillId="2" borderId="42" xfId="0" applyFill="1" applyBorder="1"/>
    <xf numFmtId="0" fontId="0" fillId="2" borderId="15" xfId="0" applyFill="1" applyBorder="1"/>
    <xf numFmtId="0" fontId="0" fillId="2" borderId="22" xfId="0" applyFill="1" applyBorder="1"/>
    <xf numFmtId="0" fontId="7" fillId="0" borderId="45" xfId="0" applyFont="1" applyBorder="1"/>
    <xf numFmtId="0" fontId="7" fillId="0" borderId="0" xfId="0" applyFont="1"/>
    <xf numFmtId="11" fontId="0" fillId="0" borderId="3" xfId="0" applyNumberFormat="1" applyBorder="1"/>
    <xf numFmtId="11" fontId="0" fillId="0" borderId="2" xfId="0" applyNumberFormat="1" applyBorder="1"/>
    <xf numFmtId="0" fontId="1" fillId="0" borderId="1" xfId="0" applyFont="1" applyBorder="1"/>
    <xf numFmtId="0" fontId="3" fillId="0" borderId="1" xfId="0" applyFont="1" applyBorder="1"/>
    <xf numFmtId="0" fontId="0" fillId="4" borderId="11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6" xfId="0" applyFill="1" applyBorder="1"/>
    <xf numFmtId="0" fontId="4" fillId="6" borderId="41" xfId="0" applyFont="1" applyFill="1" applyBorder="1" applyAlignment="1">
      <alignment horizontal="left"/>
    </xf>
    <xf numFmtId="0" fontId="4" fillId="6" borderId="39" xfId="0" applyFont="1" applyFill="1" applyBorder="1" applyAlignment="1">
      <alignment horizontal="left"/>
    </xf>
    <xf numFmtId="0" fontId="4" fillId="6" borderId="42" xfId="0" applyFont="1" applyFill="1" applyBorder="1" applyAlignment="1">
      <alignment horizontal="left"/>
    </xf>
    <xf numFmtId="0" fontId="4" fillId="7" borderId="24" xfId="0" applyFont="1" applyFill="1" applyBorder="1"/>
    <xf numFmtId="0" fontId="0" fillId="4" borderId="12" xfId="0" applyFill="1" applyBorder="1"/>
    <xf numFmtId="0" fontId="1" fillId="0" borderId="3" xfId="0" applyFont="1" applyBorder="1"/>
    <xf numFmtId="0" fontId="4" fillId="6" borderId="40" xfId="0" applyFont="1" applyFill="1" applyBorder="1" applyAlignment="1">
      <alignment horizontal="left"/>
    </xf>
    <xf numFmtId="0" fontId="4" fillId="6" borderId="0" xfId="0" applyFont="1" applyFill="1"/>
    <xf numFmtId="0" fontId="0" fillId="2" borderId="29" xfId="0" applyFill="1" applyBorder="1"/>
    <xf numFmtId="0" fontId="0" fillId="2" borderId="30" xfId="0" applyFill="1" applyBorder="1"/>
    <xf numFmtId="0" fontId="0" fillId="2" borderId="16" xfId="0" applyFill="1" applyBorder="1"/>
    <xf numFmtId="0" fontId="0" fillId="3" borderId="29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16" xfId="0" applyFill="1" applyBorder="1"/>
    <xf numFmtId="0" fontId="0" fillId="3" borderId="28" xfId="0" applyFill="1" applyBorder="1"/>
    <xf numFmtId="0" fontId="0" fillId="3" borderId="27" xfId="0" applyFill="1" applyBorder="1"/>
    <xf numFmtId="0" fontId="2" fillId="3" borderId="37" xfId="1" applyFill="1" applyBorder="1"/>
    <xf numFmtId="0" fontId="2" fillId="3" borderId="49" xfId="1" applyFill="1" applyBorder="1"/>
    <xf numFmtId="0" fontId="2" fillId="3" borderId="48" xfId="1" applyFill="1" applyBorder="1"/>
    <xf numFmtId="0" fontId="2" fillId="5" borderId="31" xfId="1" applyFill="1" applyBorder="1"/>
    <xf numFmtId="0" fontId="2" fillId="5" borderId="0" xfId="1" applyFill="1"/>
    <xf numFmtId="0" fontId="2" fillId="5" borderId="28" xfId="1" applyFill="1" applyBorder="1"/>
    <xf numFmtId="0" fontId="2" fillId="5" borderId="32" xfId="1" applyFill="1" applyBorder="1"/>
    <xf numFmtId="0" fontId="2" fillId="5" borderId="33" xfId="1" applyFill="1" applyBorder="1"/>
    <xf numFmtId="0" fontId="2" fillId="5" borderId="27" xfId="1" applyFill="1" applyBorder="1"/>
    <xf numFmtId="0" fontId="0" fillId="3" borderId="37" xfId="0" applyFill="1" applyBorder="1"/>
    <xf numFmtId="0" fontId="0" fillId="3" borderId="48" xfId="0" applyFill="1" applyBorder="1"/>
    <xf numFmtId="0" fontId="0" fillId="0" borderId="50" xfId="0" applyBorder="1"/>
    <xf numFmtId="0" fontId="0" fillId="3" borderId="49" xfId="0" applyFill="1" applyBorder="1"/>
    <xf numFmtId="0" fontId="9" fillId="0" borderId="0" xfId="0" applyFont="1"/>
    <xf numFmtId="0" fontId="10" fillId="0" borderId="0" xfId="0" applyFont="1"/>
    <xf numFmtId="0" fontId="9" fillId="0" borderId="51" xfId="0" applyFont="1" applyBorder="1" applyAlignment="1">
      <alignment wrapText="1"/>
    </xf>
    <xf numFmtId="0" fontId="9" fillId="0" borderId="51" xfId="0" applyFont="1" applyBorder="1"/>
    <xf numFmtId="0" fontId="11" fillId="0" borderId="54" xfId="0" applyFont="1" applyBorder="1"/>
    <xf numFmtId="0" fontId="11" fillId="0" borderId="55" xfId="0" applyFont="1" applyBorder="1"/>
    <xf numFmtId="0" fontId="9" fillId="0" borderId="47" xfId="0" applyFont="1" applyBorder="1"/>
    <xf numFmtId="0" fontId="11" fillId="0" borderId="0" xfId="0" applyFont="1"/>
    <xf numFmtId="0" fontId="11" fillId="0" borderId="56" xfId="0" applyFont="1" applyBorder="1"/>
    <xf numFmtId="0" fontId="11" fillId="0" borderId="57" xfId="0" applyFont="1" applyBorder="1"/>
    <xf numFmtId="0" fontId="7" fillId="0" borderId="58" xfId="0" applyFont="1" applyBorder="1"/>
    <xf numFmtId="0" fontId="9" fillId="0" borderId="59" xfId="0" applyFont="1" applyBorder="1"/>
    <xf numFmtId="0" fontId="11" fillId="0" borderId="60" xfId="0" applyFont="1" applyBorder="1"/>
    <xf numFmtId="0" fontId="7" fillId="0" borderId="46" xfId="0" applyFont="1" applyBorder="1"/>
    <xf numFmtId="0" fontId="11" fillId="0" borderId="47" xfId="0" applyFont="1" applyBorder="1"/>
    <xf numFmtId="0" fontId="10" fillId="0" borderId="55" xfId="0" applyFont="1" applyBorder="1"/>
    <xf numFmtId="0" fontId="9" fillId="0" borderId="55" xfId="0" applyFont="1" applyBorder="1"/>
    <xf numFmtId="0" fontId="7" fillId="0" borderId="55" xfId="0" applyFont="1" applyBorder="1"/>
    <xf numFmtId="0" fontId="9" fillId="9" borderId="46" xfId="0" applyFont="1" applyFill="1" applyBorder="1"/>
    <xf numFmtId="0" fontId="9" fillId="9" borderId="47" xfId="0" applyFont="1" applyFill="1" applyBorder="1"/>
    <xf numFmtId="0" fontId="11" fillId="0" borderId="59" xfId="0" applyFont="1" applyBorder="1" applyAlignment="1">
      <alignment wrapText="1"/>
    </xf>
    <xf numFmtId="0" fontId="11" fillId="0" borderId="60" xfId="0" applyFont="1" applyBorder="1" applyAlignment="1">
      <alignment wrapText="1"/>
    </xf>
    <xf numFmtId="0" fontId="11" fillId="0" borderId="47" xfId="0" applyFont="1" applyBorder="1" applyAlignment="1">
      <alignment wrapText="1"/>
    </xf>
    <xf numFmtId="0" fontId="9" fillId="9" borderId="45" xfId="0" applyFont="1" applyFill="1" applyBorder="1"/>
    <xf numFmtId="0" fontId="7" fillId="0" borderId="59" xfId="0" applyFont="1" applyBorder="1" applyAlignment="1">
      <alignment wrapText="1"/>
    </xf>
    <xf numFmtId="0" fontId="7" fillId="0" borderId="60" xfId="0" applyFont="1" applyBorder="1" applyAlignment="1">
      <alignment wrapText="1"/>
    </xf>
    <xf numFmtId="0" fontId="7" fillId="0" borderId="47" xfId="0" applyFont="1" applyBorder="1" applyAlignment="1">
      <alignment wrapText="1"/>
    </xf>
    <xf numFmtId="0" fontId="7" fillId="0" borderId="47" xfId="0" applyFont="1" applyBorder="1"/>
    <xf numFmtId="0" fontId="9" fillId="0" borderId="46" xfId="0" applyFont="1" applyBorder="1"/>
    <xf numFmtId="16" fontId="7" fillId="0" borderId="47" xfId="0" applyNumberFormat="1" applyFont="1" applyBorder="1"/>
    <xf numFmtId="0" fontId="11" fillId="0" borderId="47" xfId="0" quotePrefix="1" applyFont="1" applyBorder="1"/>
    <xf numFmtId="0" fontId="11" fillId="0" borderId="46" xfId="0" applyFont="1" applyBorder="1"/>
    <xf numFmtId="0" fontId="7" fillId="0" borderId="44" xfId="0" applyFont="1" applyBorder="1"/>
    <xf numFmtId="3" fontId="7" fillId="0" borderId="45" xfId="0" applyNumberFormat="1" applyFont="1" applyBorder="1"/>
    <xf numFmtId="3" fontId="7" fillId="0" borderId="47" xfId="0" applyNumberFormat="1" applyFont="1" applyBorder="1"/>
    <xf numFmtId="0" fontId="7" fillId="0" borderId="61" xfId="0" applyFont="1" applyBorder="1"/>
    <xf numFmtId="0" fontId="7" fillId="0" borderId="62" xfId="0" applyFont="1" applyBorder="1"/>
    <xf numFmtId="0" fontId="7" fillId="0" borderId="63" xfId="0" applyFont="1" applyBorder="1"/>
    <xf numFmtId="0" fontId="7" fillId="0" borderId="64" xfId="0" applyFont="1" applyBorder="1"/>
    <xf numFmtId="3" fontId="7" fillId="0" borderId="0" xfId="0" applyNumberFormat="1" applyFont="1"/>
    <xf numFmtId="0" fontId="7" fillId="0" borderId="65" xfId="0" applyFont="1" applyBorder="1"/>
    <xf numFmtId="0" fontId="7" fillId="0" borderId="65" xfId="0" quotePrefix="1" applyFont="1" applyBorder="1"/>
    <xf numFmtId="0" fontId="7" fillId="0" borderId="66" xfId="0" applyFont="1" applyBorder="1"/>
    <xf numFmtId="3" fontId="7" fillId="0" borderId="67" xfId="0" applyNumberFormat="1" applyFont="1" applyBorder="1"/>
    <xf numFmtId="0" fontId="7" fillId="0" borderId="68" xfId="0" applyFont="1" applyBorder="1"/>
    <xf numFmtId="0" fontId="7" fillId="0" borderId="0" xfId="0" quotePrefix="1" applyFont="1"/>
    <xf numFmtId="0" fontId="7" fillId="0" borderId="67" xfId="0" quotePrefix="1" applyFont="1" applyBorder="1"/>
    <xf numFmtId="11" fontId="0" fillId="0" borderId="12" xfId="0" applyNumberFormat="1" applyBorder="1"/>
    <xf numFmtId="11" fontId="0" fillId="0" borderId="5" xfId="0" applyNumberFormat="1" applyBorder="1"/>
    <xf numFmtId="11" fontId="0" fillId="0" borderId="6" xfId="0" applyNumberFormat="1" applyBorder="1"/>
    <xf numFmtId="11" fontId="0" fillId="0" borderId="11" xfId="0" applyNumberFormat="1" applyBorder="1"/>
    <xf numFmtId="11" fontId="0" fillId="0" borderId="10" xfId="0" applyNumberFormat="1" applyBorder="1"/>
    <xf numFmtId="11" fontId="0" fillId="0" borderId="4" xfId="0" applyNumberFormat="1" applyBorder="1"/>
    <xf numFmtId="0" fontId="8" fillId="0" borderId="30" xfId="0" quotePrefix="1" applyFon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0" fontId="8" fillId="0" borderId="0" xfId="0" quotePrefix="1" applyFont="1"/>
    <xf numFmtId="2" fontId="0" fillId="0" borderId="23" xfId="0" applyNumberFormat="1" applyBorder="1"/>
    <xf numFmtId="2" fontId="0" fillId="0" borderId="21" xfId="0" applyNumberFormat="1" applyBorder="1"/>
    <xf numFmtId="0" fontId="4" fillId="6" borderId="0" xfId="0" applyFont="1" applyFill="1" applyAlignment="1">
      <alignment horizontal="left"/>
    </xf>
    <xf numFmtId="0" fontId="0" fillId="2" borderId="69" xfId="0" applyFill="1" applyBorder="1"/>
    <xf numFmtId="0" fontId="0" fillId="2" borderId="34" xfId="0" applyFill="1" applyBorder="1"/>
    <xf numFmtId="0" fontId="0" fillId="2" borderId="35" xfId="0" applyFill="1" applyBorder="1"/>
    <xf numFmtId="11" fontId="7" fillId="0" borderId="0" xfId="0" applyNumberFormat="1" applyFont="1"/>
    <xf numFmtId="0" fontId="7" fillId="8" borderId="0" xfId="0" applyFont="1" applyFill="1"/>
    <xf numFmtId="11" fontId="7" fillId="0" borderId="30" xfId="0" applyNumberFormat="1" applyFont="1" applyBorder="1"/>
    <xf numFmtId="11" fontId="7" fillId="0" borderId="33" xfId="0" applyNumberFormat="1" applyFont="1" applyBorder="1"/>
    <xf numFmtId="11" fontId="7" fillId="8" borderId="0" xfId="0" applyNumberFormat="1" applyFont="1" applyFill="1"/>
    <xf numFmtId="0" fontId="7" fillId="6" borderId="49" xfId="0" applyFont="1" applyFill="1" applyBorder="1"/>
    <xf numFmtId="0" fontId="0" fillId="0" borderId="49" xfId="0" applyBorder="1"/>
    <xf numFmtId="0" fontId="7" fillId="10" borderId="49" xfId="0" applyFont="1" applyFill="1" applyBorder="1"/>
    <xf numFmtId="0" fontId="7" fillId="10" borderId="37" xfId="0" applyFont="1" applyFill="1" applyBorder="1"/>
    <xf numFmtId="11" fontId="7" fillId="8" borderId="30" xfId="0" applyNumberFormat="1" applyFont="1" applyFill="1" applyBorder="1"/>
    <xf numFmtId="0" fontId="7" fillId="10" borderId="48" xfId="0" applyFont="1" applyFill="1" applyBorder="1"/>
    <xf numFmtId="11" fontId="7" fillId="8" borderId="33" xfId="0" applyNumberFormat="1" applyFont="1" applyFill="1" applyBorder="1"/>
    <xf numFmtId="0" fontId="7" fillId="2" borderId="37" xfId="0" applyFont="1" applyFill="1" applyBorder="1"/>
    <xf numFmtId="0" fontId="7" fillId="2" borderId="30" xfId="0" applyFont="1" applyFill="1" applyBorder="1"/>
    <xf numFmtId="0" fontId="7" fillId="2" borderId="16" xfId="0" applyFont="1" applyFill="1" applyBorder="1"/>
    <xf numFmtId="0" fontId="7" fillId="8" borderId="33" xfId="0" applyFont="1" applyFill="1" applyBorder="1"/>
    <xf numFmtId="0" fontId="7" fillId="6" borderId="37" xfId="0" applyFont="1" applyFill="1" applyBorder="1"/>
    <xf numFmtId="0" fontId="7" fillId="6" borderId="48" xfId="0" applyFont="1" applyFill="1" applyBorder="1"/>
    <xf numFmtId="0" fontId="7" fillId="0" borderId="30" xfId="0" applyFont="1" applyBorder="1"/>
    <xf numFmtId="0" fontId="7" fillId="0" borderId="33" xfId="0" applyFont="1" applyBorder="1"/>
    <xf numFmtId="0" fontId="3" fillId="2" borderId="29" xfId="1" applyFont="1" applyFill="1" applyBorder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2" fillId="2" borderId="29" xfId="1" applyFill="1" applyBorder="1" applyAlignment="1">
      <alignment horizontal="center"/>
    </xf>
    <xf numFmtId="0" fontId="2" fillId="2" borderId="30" xfId="1" applyFill="1" applyBorder="1" applyAlignment="1">
      <alignment horizontal="center"/>
    </xf>
    <xf numFmtId="0" fontId="2" fillId="2" borderId="16" xfId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9" fillId="0" borderId="52" xfId="0" applyFont="1" applyBorder="1" applyAlignment="1">
      <alignment wrapText="1"/>
    </xf>
    <xf numFmtId="0" fontId="9" fillId="0" borderId="53" xfId="0" applyFont="1" applyBorder="1" applyAlignment="1">
      <alignment wrapText="1"/>
    </xf>
    <xf numFmtId="0" fontId="9" fillId="0" borderId="51" xfId="0" applyFont="1" applyBorder="1" applyAlignment="1">
      <alignment wrapText="1"/>
    </xf>
    <xf numFmtId="0" fontId="10" fillId="0" borderId="52" xfId="0" applyFont="1" applyBorder="1" applyAlignment="1">
      <alignment wrapText="1"/>
    </xf>
    <xf numFmtId="0" fontId="10" fillId="0" borderId="51" xfId="0" applyFont="1" applyBorder="1" applyAlignment="1">
      <alignment wrapText="1"/>
    </xf>
    <xf numFmtId="0" fontId="10" fillId="0" borderId="53" xfId="0" applyFont="1" applyBorder="1" applyAlignment="1">
      <alignment wrapText="1"/>
    </xf>
    <xf numFmtId="0" fontId="7" fillId="0" borderId="0" xfId="0" applyFont="1" applyAlignment="1"/>
  </cellXfs>
  <cellStyles count="3">
    <cellStyle name="Hyperlink" xfId="2" xr:uid="{00000000-000B-0000-0000-000008000000}"/>
    <cellStyle name="Normal" xfId="0" builtinId="0"/>
    <cellStyle name="Normal 2" xfId="1" xr:uid="{1058B163-88ED-464E-BECF-876168376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476250</xdr:colOff>
      <xdr:row>10</xdr:row>
      <xdr:rowOff>9525</xdr:rowOff>
    </xdr:from>
    <xdr:to>
      <xdr:col>30</xdr:col>
      <xdr:colOff>266700</xdr:colOff>
      <xdr:row>31</xdr:row>
      <xdr:rowOff>133350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6A717A07-C335-4A4D-C1EF-EA43A66EE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914525"/>
          <a:ext cx="6819900" cy="412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23</xdr:row>
      <xdr:rowOff>19050</xdr:rowOff>
    </xdr:from>
    <xdr:to>
      <xdr:col>3</xdr:col>
      <xdr:colOff>1228725</xdr:colOff>
      <xdr:row>26</xdr:row>
      <xdr:rowOff>85725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DACBF290-11E1-F144-B4C5-D7B4183C1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400550"/>
          <a:ext cx="4714875" cy="63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</xdr:colOff>
      <xdr:row>20</xdr:row>
      <xdr:rowOff>95250</xdr:rowOff>
    </xdr:from>
    <xdr:to>
      <xdr:col>17</xdr:col>
      <xdr:colOff>504825</xdr:colOff>
      <xdr:row>40</xdr:row>
      <xdr:rowOff>0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AAE299A1-3AA1-64B2-C8AE-35B6DAA9E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025" y="4476750"/>
          <a:ext cx="4572000" cy="36957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2</xdr:row>
      <xdr:rowOff>133350</xdr:rowOff>
    </xdr:from>
    <xdr:to>
      <xdr:col>17</xdr:col>
      <xdr:colOff>485775</xdr:colOff>
      <xdr:row>22</xdr:row>
      <xdr:rowOff>47625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D731E5E6-4E4B-6FF9-FC49-6A1B5D9B4123}"/>
            </a:ext>
            <a:ext uri="{147F2762-F138-4A5C-976F-8EAC2B608ADB}">
              <a16:predDERef xmlns:a16="http://schemas.microsoft.com/office/drawing/2014/main" pred="{AAE299A1-3AA1-64B2-C8AE-35B6DAA9E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704850"/>
          <a:ext cx="4572000" cy="3724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30FE-7F59-4614-9445-9DEB871B4C44}">
  <dimension ref="A1:AA651"/>
  <sheetViews>
    <sheetView tabSelected="1" topLeftCell="O1" workbookViewId="0">
      <selection activeCell="AD39" sqref="AD39"/>
    </sheetView>
  </sheetViews>
  <sheetFormatPr defaultColWidth="9.140625" defaultRowHeight="15"/>
  <cols>
    <col min="1" max="2" width="11.7109375" bestFit="1" customWidth="1"/>
    <col min="3" max="4" width="11" bestFit="1" customWidth="1"/>
    <col min="5" max="5" width="10.42578125" bestFit="1" customWidth="1"/>
    <col min="7" max="8" width="10.7109375" bestFit="1" customWidth="1"/>
    <col min="9" max="9" width="13.85546875" bestFit="1" customWidth="1"/>
    <col min="10" max="10" width="19.7109375" bestFit="1" customWidth="1"/>
    <col min="11" max="11" width="21.5703125" bestFit="1" customWidth="1"/>
    <col min="12" max="12" width="14.7109375" bestFit="1" customWidth="1"/>
    <col min="13" max="13" width="19.42578125" bestFit="1" customWidth="1"/>
    <col min="14" max="14" width="13.42578125" bestFit="1" customWidth="1"/>
    <col min="15" max="15" width="15.28515625" bestFit="1" customWidth="1"/>
    <col min="16" max="17" width="19" bestFit="1" customWidth="1"/>
    <col min="18" max="18" width="19" customWidth="1"/>
    <col min="19" max="22" width="17.140625" customWidth="1"/>
    <col min="23" max="23" width="17.140625" style="1" customWidth="1"/>
    <col min="24" max="24" width="15.5703125" customWidth="1"/>
    <col min="25" max="25" width="20.85546875" customWidth="1"/>
    <col min="26" max="26" width="14" bestFit="1" customWidth="1"/>
    <col min="27" max="27" width="14" customWidth="1"/>
    <col min="28" max="28" width="16.85546875" customWidth="1"/>
    <col min="29" max="29" width="13.7109375" bestFit="1" customWidth="1"/>
    <col min="30" max="30" width="10.42578125" bestFit="1" customWidth="1"/>
    <col min="31" max="31" width="9.28515625" bestFit="1" customWidth="1"/>
    <col min="32" max="32" width="11.85546875" bestFit="1" customWidth="1"/>
    <col min="33" max="33" width="13.5703125" bestFit="1" customWidth="1"/>
    <col min="35" max="35" width="30.42578125" bestFit="1" customWidth="1"/>
    <col min="42" max="42" width="13.140625" customWidth="1"/>
    <col min="43" max="43" width="9.85546875" customWidth="1"/>
  </cols>
  <sheetData>
    <row r="1" spans="1:27">
      <c r="A1" s="71" t="s">
        <v>0</v>
      </c>
      <c r="B1" s="72" t="s">
        <v>1</v>
      </c>
      <c r="C1" s="71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73" t="s">
        <v>14</v>
      </c>
      <c r="P1" s="73" t="s">
        <v>15</v>
      </c>
      <c r="Q1" s="73" t="s">
        <v>16</v>
      </c>
      <c r="R1" s="73" t="s">
        <v>17</v>
      </c>
      <c r="S1" s="73" t="s">
        <v>18</v>
      </c>
      <c r="T1" s="73" t="s">
        <v>19</v>
      </c>
      <c r="U1" s="73" t="s">
        <v>20</v>
      </c>
      <c r="V1" s="72" t="s">
        <v>21</v>
      </c>
      <c r="W1" s="74" t="s">
        <v>22</v>
      </c>
    </row>
    <row r="2" spans="1:27">
      <c r="A2" s="35" t="s">
        <v>23</v>
      </c>
      <c r="B2" s="51" t="s">
        <v>24</v>
      </c>
      <c r="C2" s="67">
        <v>0</v>
      </c>
      <c r="D2" s="12">
        <v>3.14</v>
      </c>
      <c r="E2" s="12">
        <v>19.86</v>
      </c>
      <c r="F2" s="12">
        <v>19.5</v>
      </c>
      <c r="G2" s="12">
        <v>7.29</v>
      </c>
      <c r="H2" s="12">
        <v>7.58</v>
      </c>
      <c r="I2" s="12">
        <v>2.84</v>
      </c>
      <c r="J2" s="12">
        <v>-238.3</v>
      </c>
      <c r="K2" s="12">
        <v>-235.7</v>
      </c>
      <c r="L2" s="12">
        <v>0.17399999999999999</v>
      </c>
      <c r="M2" s="12">
        <f>62.3*10</f>
        <v>623</v>
      </c>
      <c r="N2" s="12">
        <f>I2/1000</f>
        <v>2.8399999999999996E-3</v>
      </c>
      <c r="O2" s="12">
        <f>N2/0.4</f>
        <v>7.0999999999999987E-3</v>
      </c>
      <c r="P2" s="12">
        <f>N2*I2</f>
        <v>8.0655999999999992E-3</v>
      </c>
      <c r="Q2" s="12">
        <f>(P2*10^-6)/D_Calculation_electrode_area!$H$22</f>
        <v>4.4808879881165138E-13</v>
      </c>
      <c r="R2" s="168">
        <f>(P2*10^-6)/0.4</f>
        <v>2.0163999999999998E-8</v>
      </c>
      <c r="S2" s="63">
        <f>10^-G2</f>
        <v>5.1286138399136415E-8</v>
      </c>
      <c r="T2" s="63">
        <f>(M2*10^-3/$Z$4)</f>
        <v>6.4853543418562478E-3</v>
      </c>
      <c r="U2" s="12">
        <f>(L2*10^-3/$Z$3)</f>
        <v>5.1055019706063924E-6</v>
      </c>
      <c r="V2" s="162">
        <v>6.4904598438268544E-3</v>
      </c>
      <c r="W2" s="169">
        <f>V2*$Z$5*10^3</f>
        <v>208.11659489230809</v>
      </c>
      <c r="Y2" s="93"/>
      <c r="Z2" s="94" t="s">
        <v>25</v>
      </c>
      <c r="AA2" s="95" t="s">
        <v>26</v>
      </c>
    </row>
    <row r="3" spans="1:27">
      <c r="A3" s="5" t="s">
        <v>27</v>
      </c>
      <c r="B3" s="48" t="s">
        <v>24</v>
      </c>
      <c r="C3" s="44">
        <v>0</v>
      </c>
      <c r="D3" s="1">
        <v>4.71</v>
      </c>
      <c r="E3" s="1">
        <v>20</v>
      </c>
      <c r="F3" s="1">
        <v>19.399999999999999</v>
      </c>
      <c r="G3" s="1">
        <v>7.34</v>
      </c>
      <c r="H3" s="1">
        <v>7.45</v>
      </c>
      <c r="I3" s="1">
        <v>20.9</v>
      </c>
      <c r="J3" s="1">
        <v>-336.4</v>
      </c>
      <c r="K3" s="1">
        <v>-315.7</v>
      </c>
      <c r="L3" s="1">
        <v>0.27400000000000002</v>
      </c>
      <c r="M3" s="1">
        <f>65.8*10</f>
        <v>658</v>
      </c>
      <c r="N3" s="1">
        <f>I3/1000</f>
        <v>2.0899999999999998E-2</v>
      </c>
      <c r="O3" s="1">
        <f>N3/0.4</f>
        <v>5.2249999999999991E-2</v>
      </c>
      <c r="P3" s="1">
        <f>N3*I3</f>
        <v>0.43680999999999992</v>
      </c>
      <c r="Q3" s="1">
        <f>(P3*10^-6)/D_Calculation_electrode_area!$H$22</f>
        <v>2.426721734389474E-11</v>
      </c>
      <c r="R3" s="1">
        <f>(P3*10^-6)/0.4</f>
        <v>1.0920249999999997E-6</v>
      </c>
      <c r="S3" s="43">
        <f>10^-G3</f>
        <v>4.5708818961487464E-8</v>
      </c>
      <c r="T3" s="43">
        <f>(M3*10^-3/$Z$4)</f>
        <v>6.8497000913987334E-3</v>
      </c>
      <c r="U3" s="1">
        <f>(L3*10^-3/$Z$3)</f>
        <v>8.0396985054376546E-6</v>
      </c>
      <c r="V3" s="163">
        <v>6.8577397899041714E-3</v>
      </c>
      <c r="W3" s="170">
        <f>V3*$Z$5*10^3</f>
        <v>219.89342636327726</v>
      </c>
      <c r="Y3" s="111" t="s">
        <v>28</v>
      </c>
      <c r="Z3" s="32">
        <v>34.080880000000001</v>
      </c>
      <c r="AA3" s="13" t="s">
        <v>29</v>
      </c>
    </row>
    <row r="4" spans="1:27">
      <c r="A4" s="5" t="s">
        <v>30</v>
      </c>
      <c r="B4" s="48" t="s">
        <v>24</v>
      </c>
      <c r="C4" s="44">
        <v>0</v>
      </c>
      <c r="D4" s="1">
        <v>5.54</v>
      </c>
      <c r="E4" s="1">
        <v>19.98</v>
      </c>
      <c r="F4" s="1">
        <v>19.3</v>
      </c>
      <c r="G4" s="1">
        <v>7.39</v>
      </c>
      <c r="H4" s="1">
        <v>7.72</v>
      </c>
      <c r="I4" s="1">
        <v>-4.0199999999999996</v>
      </c>
      <c r="J4" s="1">
        <v>-230.9</v>
      </c>
      <c r="K4" s="1">
        <v>-226</v>
      </c>
      <c r="L4" s="1">
        <v>0.28399999999999997</v>
      </c>
      <c r="M4" s="1">
        <f>54.8*10</f>
        <v>548</v>
      </c>
      <c r="N4" s="1">
        <f>I4/1000</f>
        <v>-4.0199999999999993E-3</v>
      </c>
      <c r="O4" s="1">
        <f t="shared" ref="O4:O16" si="0">N4/0.4</f>
        <v>-1.0049999999999998E-2</v>
      </c>
      <c r="P4" s="1">
        <f>N4*I4</f>
        <v>1.6160399999999995E-2</v>
      </c>
      <c r="Q4" s="1">
        <f>(P4*10^-6)/D_Calculation_electrode_area!$H$22</f>
        <v>8.9779981951941698E-13</v>
      </c>
      <c r="R4" s="1">
        <f t="shared" ref="R4:R10" si="1">(P4*10^-6)/0.4</f>
        <v>4.0400999999999986E-8</v>
      </c>
      <c r="S4" s="43">
        <f>10^-G4</f>
        <v>4.0738027780411254E-8</v>
      </c>
      <c r="T4" s="43">
        <f>(M4*10^-3/$Z$4)</f>
        <v>5.7046134499794928E-3</v>
      </c>
      <c r="U4" s="1">
        <f>(L4*10^-3/$Z$3)</f>
        <v>8.3331181589207781E-6</v>
      </c>
      <c r="V4" s="163">
        <v>5.7129465681384139E-3</v>
      </c>
      <c r="W4" s="170">
        <f>V4*$Z$5*10^3</f>
        <v>183.18563170735825</v>
      </c>
      <c r="Y4" s="114" t="s">
        <v>31</v>
      </c>
      <c r="Z4">
        <v>96.062600000000003</v>
      </c>
      <c r="AA4" s="24" t="s">
        <v>29</v>
      </c>
    </row>
    <row r="5" spans="1:27">
      <c r="A5" s="5" t="s">
        <v>32</v>
      </c>
      <c r="B5" s="48" t="s">
        <v>24</v>
      </c>
      <c r="C5" s="44">
        <v>0</v>
      </c>
      <c r="D5" s="1">
        <v>4.74</v>
      </c>
      <c r="E5" s="1">
        <v>20</v>
      </c>
      <c r="F5" s="1">
        <v>19.7</v>
      </c>
      <c r="G5" s="1">
        <v>7.29</v>
      </c>
      <c r="H5" s="1">
        <v>7.79</v>
      </c>
      <c r="I5" s="1">
        <v>-396.2</v>
      </c>
      <c r="J5" s="1">
        <v>-458.1</v>
      </c>
      <c r="K5" s="1">
        <v>-52.32</v>
      </c>
      <c r="L5" s="1">
        <v>0.34399999999999997</v>
      </c>
      <c r="M5" s="1">
        <f>62.9*10</f>
        <v>629</v>
      </c>
      <c r="N5" s="1">
        <f>I5/1000</f>
        <v>-0.3962</v>
      </c>
      <c r="O5" s="1">
        <f t="shared" si="0"/>
        <v>-0.99049999999999994</v>
      </c>
      <c r="P5" s="1">
        <f>N5*I5</f>
        <v>156.97443999999999</v>
      </c>
      <c r="Q5" s="1">
        <f>(P5*10^-6)/D_Calculation_electrode_area!$H$22</f>
        <v>8.7208004691196719E-9</v>
      </c>
      <c r="R5" s="1">
        <f t="shared" si="1"/>
        <v>3.9243609999999989E-4</v>
      </c>
      <c r="S5" s="43">
        <f>10^-G5</f>
        <v>5.1286138399136415E-8</v>
      </c>
      <c r="T5" s="43">
        <f>(M5*10^-3/$Z$4)</f>
        <v>6.547813613206388E-3</v>
      </c>
      <c r="U5" s="1">
        <f>(L5*10^-3/$Z$3)</f>
        <v>1.0093636079819534E-5</v>
      </c>
      <c r="V5" s="163">
        <v>6.5579072492862071E-3</v>
      </c>
      <c r="W5" s="170">
        <f>V5*$Z$5*10^3</f>
        <v>210.27929594836223</v>
      </c>
      <c r="Y5" s="112" t="s">
        <v>33</v>
      </c>
      <c r="Z5" s="25">
        <f>32.065</f>
        <v>32.064999999999998</v>
      </c>
      <c r="AA5" s="26" t="s">
        <v>29</v>
      </c>
    </row>
    <row r="6" spans="1:27">
      <c r="A6" s="5" t="s">
        <v>34</v>
      </c>
      <c r="B6" s="48" t="s">
        <v>24</v>
      </c>
      <c r="C6" s="44">
        <v>0</v>
      </c>
      <c r="D6" s="1">
        <v>6.11</v>
      </c>
      <c r="E6" s="1">
        <v>20.100000000000001</v>
      </c>
      <c r="F6" s="1">
        <v>19.7</v>
      </c>
      <c r="G6" s="1">
        <v>7.26</v>
      </c>
      <c r="H6" s="1">
        <v>7.86</v>
      </c>
      <c r="I6" s="1">
        <f>-660</f>
        <v>-660</v>
      </c>
      <c r="J6" s="1">
        <v>-460.4</v>
      </c>
      <c r="K6" s="1">
        <v>215.15</v>
      </c>
      <c r="L6" s="1">
        <v>0.434</v>
      </c>
      <c r="M6" s="1">
        <f>56.5*10</f>
        <v>565</v>
      </c>
      <c r="N6" s="1">
        <f>I6/1000</f>
        <v>-0.66</v>
      </c>
      <c r="O6" s="1">
        <f t="shared" si="0"/>
        <v>-1.65</v>
      </c>
      <c r="P6" s="1">
        <f>N6*I6</f>
        <v>435.6</v>
      </c>
      <c r="Q6" s="1">
        <f>(P6*10^-6)/D_Calculation_electrode_area!$H$22</f>
        <v>2.4199995135185896E-8</v>
      </c>
      <c r="R6" s="1">
        <f t="shared" si="1"/>
        <v>1.0889999999999999E-3</v>
      </c>
      <c r="S6" s="43">
        <f>10^-G6</f>
        <v>5.4954087385762357E-8</v>
      </c>
      <c r="T6" s="43">
        <f>(M6*10^-3/$Z$4)</f>
        <v>5.8815813854715578E-3</v>
      </c>
      <c r="U6" s="1">
        <f>(L6*10^-3/$Z$3)</f>
        <v>1.273441296116767E-5</v>
      </c>
      <c r="V6" s="163">
        <v>5.8943157984327251E-3</v>
      </c>
      <c r="W6" s="170">
        <f>V6*$Z$5*10^3</f>
        <v>189.00123607674533</v>
      </c>
    </row>
    <row r="7" spans="1:27">
      <c r="A7" s="5" t="s">
        <v>35</v>
      </c>
      <c r="B7" s="48" t="s">
        <v>24</v>
      </c>
      <c r="C7" s="44">
        <v>0</v>
      </c>
      <c r="D7" s="1">
        <v>5.71</v>
      </c>
      <c r="E7" s="1">
        <v>20</v>
      </c>
      <c r="F7" s="1">
        <v>19.8</v>
      </c>
      <c r="G7" s="1">
        <v>7.25</v>
      </c>
      <c r="H7" s="1">
        <v>7.83</v>
      </c>
      <c r="I7" s="1">
        <v>-437.2</v>
      </c>
      <c r="J7" s="1">
        <v>-451</v>
      </c>
      <c r="K7" s="1">
        <v>-11.58</v>
      </c>
      <c r="L7" s="1">
        <v>0.33300000000000002</v>
      </c>
      <c r="M7" s="1">
        <f>63.1*10</f>
        <v>631</v>
      </c>
      <c r="N7" s="1">
        <f>I7/1000</f>
        <v>-0.43719999999999998</v>
      </c>
      <c r="O7" s="1">
        <f t="shared" si="0"/>
        <v>-1.093</v>
      </c>
      <c r="P7" s="1">
        <f>N7*I7</f>
        <v>191.14383999999998</v>
      </c>
      <c r="Q7" s="1">
        <f>(P7*10^-6)/D_Calculation_electrode_area!$H$22</f>
        <v>1.0619100087513202E-8</v>
      </c>
      <c r="R7" s="1">
        <f t="shared" si="1"/>
        <v>4.7785959999999995E-4</v>
      </c>
      <c r="S7" s="43">
        <f>10^-G7</f>
        <v>5.6234132519034806E-8</v>
      </c>
      <c r="T7" s="43">
        <f>(M7*10^-3/$Z$4)</f>
        <v>6.568633370323102E-3</v>
      </c>
      <c r="U7" s="1">
        <f>(L7*10^-3/$Z$3)</f>
        <v>9.770874460988097E-6</v>
      </c>
      <c r="V7" s="163">
        <v>6.5784042447840901E-3</v>
      </c>
      <c r="W7" s="170">
        <f>V7*$Z$5*10^3</f>
        <v>210.93653210900183</v>
      </c>
    </row>
    <row r="8" spans="1:27">
      <c r="A8" s="5" t="s">
        <v>36</v>
      </c>
      <c r="B8" s="48" t="s">
        <v>24</v>
      </c>
      <c r="C8" s="44">
        <v>0</v>
      </c>
      <c r="D8" s="1">
        <v>6.62</v>
      </c>
      <c r="E8" s="1">
        <v>20</v>
      </c>
      <c r="F8" s="1">
        <v>19.399999999999999</v>
      </c>
      <c r="G8" s="1">
        <v>7.36</v>
      </c>
      <c r="H8" s="1">
        <v>7.99</v>
      </c>
      <c r="I8" s="1">
        <v>-3.53</v>
      </c>
      <c r="J8" s="1">
        <v>-183.7</v>
      </c>
      <c r="K8" s="1">
        <v>-180.5</v>
      </c>
      <c r="L8" s="1">
        <v>0.218</v>
      </c>
      <c r="M8" s="1">
        <f>65*10</f>
        <v>650</v>
      </c>
      <c r="N8" s="1">
        <f>I8/1000</f>
        <v>-3.5299999999999997E-3</v>
      </c>
      <c r="O8" s="1">
        <f t="shared" si="0"/>
        <v>-8.8249999999999995E-3</v>
      </c>
      <c r="P8" s="1">
        <f>N8*I8</f>
        <v>1.2460899999999999E-2</v>
      </c>
      <c r="Q8" s="1">
        <f>(P8*10^-6)/D_Calculation_electrode_area!$H$21</f>
        <v>3.4437049488628783E-6</v>
      </c>
      <c r="R8" s="1">
        <f t="shared" si="1"/>
        <v>3.1152249999999994E-8</v>
      </c>
      <c r="S8" s="43">
        <f>10^-G8</f>
        <v>4.3651583224016566E-8</v>
      </c>
      <c r="T8" s="43">
        <f>(M8*10^-3/$Z$4)</f>
        <v>6.7664210629318801E-3</v>
      </c>
      <c r="U8" s="1">
        <f>(L8*10^-3/$Z$3)</f>
        <v>6.3965484459321479E-6</v>
      </c>
      <c r="V8" s="163">
        <v>6.7728176113778125E-3</v>
      </c>
      <c r="W8" s="170">
        <f>V8*$Z$5*10^3</f>
        <v>217.17039670882954</v>
      </c>
    </row>
    <row r="9" spans="1:27">
      <c r="A9" s="5" t="s">
        <v>37</v>
      </c>
      <c r="B9" s="48" t="s">
        <v>24</v>
      </c>
      <c r="C9" s="44">
        <v>0</v>
      </c>
      <c r="D9" s="1">
        <v>6.63</v>
      </c>
      <c r="E9" s="1">
        <v>18.98</v>
      </c>
      <c r="F9" s="1">
        <v>19.399999999999999</v>
      </c>
      <c r="G9" s="1">
        <v>7.36</v>
      </c>
      <c r="H9" s="1">
        <v>7.9</v>
      </c>
      <c r="I9" s="1">
        <v>-3.83</v>
      </c>
      <c r="J9" s="1">
        <v>-216.1</v>
      </c>
      <c r="K9" s="1">
        <v>-213.9</v>
      </c>
      <c r="L9" s="1">
        <v>0.377</v>
      </c>
      <c r="M9" s="1">
        <f>67.8*10</f>
        <v>678</v>
      </c>
      <c r="N9" s="1">
        <f>I9/1000</f>
        <v>-3.8300000000000001E-3</v>
      </c>
      <c r="O9" s="1">
        <f t="shared" si="0"/>
        <v>-9.5750000000000002E-3</v>
      </c>
      <c r="P9" s="1">
        <f>N9*I9</f>
        <v>1.46689E-2</v>
      </c>
      <c r="Q9" s="1">
        <f>(P9*10^-6)/D_Calculation_electrode_area!$H$21</f>
        <v>4.0539097115276334E-6</v>
      </c>
      <c r="R9" s="1">
        <f t="shared" si="1"/>
        <v>3.6672249999999999E-8</v>
      </c>
      <c r="S9" s="43">
        <f>10^-G9</f>
        <v>4.3651583224016566E-8</v>
      </c>
      <c r="T9" s="43">
        <f>(M9*10^-3/$Z$4)</f>
        <v>7.057897662565869E-3</v>
      </c>
      <c r="U9" s="1">
        <f>(L9*10^-3/$Z$3)</f>
        <v>1.1061920936313852E-5</v>
      </c>
      <c r="V9" s="163">
        <v>7.0689595835021829E-3</v>
      </c>
      <c r="W9" s="170">
        <f>V9*$Z$5*10^3</f>
        <v>226.66618904499748</v>
      </c>
    </row>
    <row r="10" spans="1:27">
      <c r="A10" s="5" t="s">
        <v>38</v>
      </c>
      <c r="B10" s="48" t="s">
        <v>24</v>
      </c>
      <c r="C10" s="44">
        <v>0</v>
      </c>
      <c r="D10" s="1">
        <v>6.49</v>
      </c>
      <c r="E10" s="1">
        <v>20</v>
      </c>
      <c r="F10" s="1">
        <v>19.399999999999999</v>
      </c>
      <c r="G10" s="1">
        <v>7.25</v>
      </c>
      <c r="H10" s="1">
        <v>8.0399999999999991</v>
      </c>
      <c r="I10" s="1">
        <v>-2.77</v>
      </c>
      <c r="J10" s="1">
        <v>-208.9</v>
      </c>
      <c r="K10" s="1">
        <v>-206</v>
      </c>
      <c r="L10" s="1">
        <v>1.17</v>
      </c>
      <c r="M10" s="1">
        <f>61.4*10</f>
        <v>614</v>
      </c>
      <c r="N10" s="1">
        <f>I10/1000</f>
        <v>-2.7699999999999999E-3</v>
      </c>
      <c r="O10" s="1">
        <f t="shared" si="0"/>
        <v>-6.9249999999999997E-3</v>
      </c>
      <c r="P10" s="1">
        <f>N10*I10</f>
        <v>7.6728999999999999E-3</v>
      </c>
      <c r="Q10" s="1">
        <f>(P10*10^-6)/D_Calculation_electrode_area!$H$21</f>
        <v>2.1204891863452864E-6</v>
      </c>
      <c r="R10" s="1">
        <f t="shared" si="1"/>
        <v>1.918225E-8</v>
      </c>
      <c r="S10" s="43">
        <f>10^-G10</f>
        <v>5.6234132519034806E-8</v>
      </c>
      <c r="T10" s="43">
        <f>(M10*10^-3/$Z$4)</f>
        <v>6.391665434831037E-3</v>
      </c>
      <c r="U10" s="1">
        <f>(L10*10^-3/$Z$3)</f>
        <v>3.4330099457525743E-5</v>
      </c>
      <c r="V10" s="163">
        <v>6.4259955342885625E-3</v>
      </c>
      <c r="W10" s="170">
        <f>V10*$Z$5*10^3</f>
        <v>206.04954680696275</v>
      </c>
    </row>
    <row r="11" spans="1:27">
      <c r="A11" s="5" t="s">
        <v>39</v>
      </c>
      <c r="B11" s="48" t="s">
        <v>24</v>
      </c>
      <c r="C11" s="44">
        <v>0</v>
      </c>
      <c r="D11" s="1">
        <v>5.71</v>
      </c>
      <c r="E11" s="1">
        <v>20.100000000000001</v>
      </c>
      <c r="F11" s="1">
        <v>19.7</v>
      </c>
      <c r="G11" s="1">
        <v>7.36</v>
      </c>
      <c r="H11" s="1">
        <v>7.94</v>
      </c>
      <c r="I11" s="1"/>
      <c r="J11" s="1"/>
      <c r="K11" s="1"/>
      <c r="L11" s="1">
        <v>0.47899999999999998</v>
      </c>
      <c r="M11" s="1">
        <f>56.7*10</f>
        <v>567</v>
      </c>
      <c r="N11" s="1"/>
      <c r="O11" s="1"/>
      <c r="P11" s="1"/>
      <c r="Q11" s="1"/>
      <c r="R11" s="1"/>
      <c r="S11" s="43">
        <f>10^-G11</f>
        <v>4.3651583224016566E-8</v>
      </c>
      <c r="T11" s="43">
        <f>(M11*10^-3/$Z$4)</f>
        <v>5.9024011425882709E-3</v>
      </c>
      <c r="U11" s="1">
        <f>(L11*10^-3/$Z$3)</f>
        <v>1.4054801401841736E-5</v>
      </c>
      <c r="V11" s="163">
        <v>5.9164559439901128E-3</v>
      </c>
      <c r="W11" s="170">
        <f>V11*$Z$5*10^3</f>
        <v>189.71115984404295</v>
      </c>
    </row>
    <row r="12" spans="1:27">
      <c r="A12" s="5" t="s">
        <v>40</v>
      </c>
      <c r="B12" s="48" t="s">
        <v>24</v>
      </c>
      <c r="C12" s="44">
        <v>0</v>
      </c>
      <c r="D12" s="1">
        <v>5.17</v>
      </c>
      <c r="E12" s="1">
        <v>19.989999999999998</v>
      </c>
      <c r="F12" s="1">
        <v>19.600000000000001</v>
      </c>
      <c r="G12" s="1">
        <v>7.32</v>
      </c>
      <c r="H12" s="1">
        <v>7.89</v>
      </c>
      <c r="I12" s="1"/>
      <c r="J12" s="1"/>
      <c r="K12" s="1"/>
      <c r="L12" s="1">
        <v>0.29699999999999999</v>
      </c>
      <c r="M12" s="1">
        <f>62.6*10</f>
        <v>626</v>
      </c>
      <c r="N12" s="1"/>
      <c r="O12" s="1"/>
      <c r="P12" s="1"/>
      <c r="Q12" s="1"/>
      <c r="R12" s="1"/>
      <c r="S12" s="43">
        <f>10^-G12</f>
        <v>4.7863009232263782E-8</v>
      </c>
      <c r="T12" s="43">
        <f>(M12*10^-3/$Z$4)</f>
        <v>6.5165839775313183E-3</v>
      </c>
      <c r="U12" s="1">
        <f>(L12*10^-3/$Z$3)</f>
        <v>8.7145637084488432E-6</v>
      </c>
      <c r="V12" s="163">
        <v>6.5252985412397671E-3</v>
      </c>
      <c r="W12" s="170">
        <f>V12*$Z$5*10^3</f>
        <v>209.23369772485313</v>
      </c>
    </row>
    <row r="13" spans="1:27">
      <c r="A13" s="5" t="s">
        <v>41</v>
      </c>
      <c r="B13" s="48" t="s">
        <v>24</v>
      </c>
      <c r="C13" s="44">
        <v>0</v>
      </c>
      <c r="D13" s="1">
        <v>5.86</v>
      </c>
      <c r="E13" s="1">
        <v>20.100000000000001</v>
      </c>
      <c r="F13" s="1">
        <v>19.7</v>
      </c>
      <c r="G13" s="1">
        <v>7.38</v>
      </c>
      <c r="H13" s="1">
        <v>7.86</v>
      </c>
      <c r="I13" s="1"/>
      <c r="J13" s="1"/>
      <c r="K13" s="1"/>
      <c r="L13" s="1">
        <v>0.29099999999999998</v>
      </c>
      <c r="M13" s="1">
        <f>57.1*10</f>
        <v>571</v>
      </c>
      <c r="N13" s="1"/>
      <c r="O13" s="1"/>
      <c r="P13" s="1"/>
      <c r="Q13" s="1"/>
      <c r="R13" s="1"/>
      <c r="S13" s="43">
        <f>10^-G13</f>
        <v>4.1686938347033516E-8</v>
      </c>
      <c r="T13" s="43">
        <f>(M13*10^-3/$Z$4)</f>
        <v>5.944040656821698E-3</v>
      </c>
      <c r="U13" s="1">
        <f>(L13*10^-3/$Z$3)</f>
        <v>8.5385119163589667E-6</v>
      </c>
      <c r="V13" s="163">
        <v>5.9525791687380569E-3</v>
      </c>
      <c r="W13" s="170">
        <f>V13*$Z$5*10^3</f>
        <v>190.86945104558578</v>
      </c>
    </row>
    <row r="14" spans="1:27">
      <c r="A14" s="5" t="s">
        <v>42</v>
      </c>
      <c r="B14" s="48" t="s">
        <v>24</v>
      </c>
      <c r="C14" s="44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43"/>
      <c r="T14" s="43"/>
      <c r="U14" s="1"/>
      <c r="V14" s="163"/>
      <c r="W14" s="170">
        <f>V14*$Z$5*10^3</f>
        <v>0</v>
      </c>
    </row>
    <row r="15" spans="1:27">
      <c r="A15" s="5" t="s">
        <v>43</v>
      </c>
      <c r="B15" s="48" t="s">
        <v>24</v>
      </c>
      <c r="C15" s="44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3"/>
      <c r="T15" s="43"/>
      <c r="U15" s="1"/>
      <c r="V15" s="163"/>
      <c r="W15" s="170">
        <f>V15*$Z$5*10^3</f>
        <v>0</v>
      </c>
    </row>
    <row r="16" spans="1:27">
      <c r="A16" s="6" t="s">
        <v>44</v>
      </c>
      <c r="B16" s="49" t="s">
        <v>24</v>
      </c>
      <c r="C16" s="68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7"/>
      <c r="T16" s="77"/>
      <c r="U16" s="3"/>
      <c r="V16" s="164"/>
      <c r="W16" s="171">
        <f>V16*$Z$5*10^3</f>
        <v>0</v>
      </c>
    </row>
    <row r="17" spans="1:23">
      <c r="A17" s="7" t="s">
        <v>23</v>
      </c>
      <c r="B17" s="47" t="s">
        <v>45</v>
      </c>
      <c r="C17" s="70">
        <v>2</v>
      </c>
      <c r="D17" s="4">
        <v>5.74</v>
      </c>
      <c r="E17" s="4">
        <v>19.91</v>
      </c>
      <c r="F17" s="4">
        <v>18.399999999999999</v>
      </c>
      <c r="G17" s="4">
        <v>7.48</v>
      </c>
      <c r="H17" s="4">
        <v>7.64</v>
      </c>
      <c r="I17" s="4">
        <v>-26.34</v>
      </c>
      <c r="J17" s="4">
        <v>-405.1</v>
      </c>
      <c r="K17" s="4">
        <v>-378.1</v>
      </c>
      <c r="L17" s="4"/>
      <c r="M17" s="4"/>
      <c r="N17" s="4">
        <f>I17/1000</f>
        <v>-2.6339999999999999E-2</v>
      </c>
      <c r="O17" s="4">
        <f>N17/0.4</f>
        <v>-6.5849999999999992E-2</v>
      </c>
      <c r="P17" s="4">
        <f>N17*I17</f>
        <v>0.69379559999999996</v>
      </c>
      <c r="Q17" s="4">
        <f>(P17*10^-6)/D_Calculation_electrode_area!$H$22</f>
        <v>3.8544192251637687E-11</v>
      </c>
      <c r="R17" s="172">
        <f>(P17*10^-6)/0.4</f>
        <v>1.7344889999999998E-6</v>
      </c>
      <c r="S17" s="167">
        <f>10^-G17</f>
        <v>3.3113112148259005E-8</v>
      </c>
      <c r="T17" s="167"/>
      <c r="U17" s="4"/>
      <c r="V17" s="165"/>
      <c r="W17" s="173">
        <f>V17*$Z$5*10^3</f>
        <v>0</v>
      </c>
    </row>
    <row r="18" spans="1:23">
      <c r="A18" s="5" t="s">
        <v>27</v>
      </c>
      <c r="B18" s="48" t="s">
        <v>45</v>
      </c>
      <c r="C18" s="44">
        <v>2</v>
      </c>
      <c r="D18" s="1">
        <v>6.43</v>
      </c>
      <c r="E18" s="1">
        <v>20.3</v>
      </c>
      <c r="F18" s="1">
        <v>18.5</v>
      </c>
      <c r="G18" s="1">
        <v>7.51</v>
      </c>
      <c r="H18" s="1">
        <v>7.76</v>
      </c>
      <c r="I18" s="1">
        <v>-26.61</v>
      </c>
      <c r="J18" s="1">
        <v>-380.13</v>
      </c>
      <c r="K18" s="1">
        <v>-353.4</v>
      </c>
      <c r="L18" s="1"/>
      <c r="M18" s="1"/>
      <c r="N18" s="1">
        <f>I18/1000</f>
        <v>-2.6609999999999998E-2</v>
      </c>
      <c r="O18" s="1">
        <f>N18/0.4</f>
        <v>-6.6524999999999987E-2</v>
      </c>
      <c r="P18" s="1">
        <f>N18*I18</f>
        <v>0.70809209999999989</v>
      </c>
      <c r="Q18" s="1">
        <f>(P18*10^-6)/D_Calculation_electrode_area!$H$22</f>
        <v>3.9338442091973277E-11</v>
      </c>
      <c r="R18" s="1">
        <f>(P18*10^-6)/0.4</f>
        <v>1.7702302499999996E-6</v>
      </c>
      <c r="S18" s="43">
        <f>10^-G18</f>
        <v>3.0902954325135814E-8</v>
      </c>
      <c r="T18" s="43"/>
      <c r="U18" s="1"/>
      <c r="V18" s="163"/>
      <c r="W18" s="170">
        <f>V18*$Z$5*10^3</f>
        <v>0</v>
      </c>
    </row>
    <row r="19" spans="1:23">
      <c r="A19" s="5" t="s">
        <v>30</v>
      </c>
      <c r="B19" s="48" t="s">
        <v>45</v>
      </c>
      <c r="C19" s="44">
        <v>2</v>
      </c>
      <c r="D19" s="1">
        <v>6.95</v>
      </c>
      <c r="E19" s="1">
        <v>20.2</v>
      </c>
      <c r="F19" s="1">
        <v>18.399999999999999</v>
      </c>
      <c r="G19" s="1">
        <v>7.52</v>
      </c>
      <c r="H19" s="1">
        <v>7.94</v>
      </c>
      <c r="I19" s="1">
        <v>-23.13</v>
      </c>
      <c r="J19" s="1">
        <v>-402</v>
      </c>
      <c r="K19" s="1">
        <v>-378.8</v>
      </c>
      <c r="L19" s="1"/>
      <c r="M19" s="1"/>
      <c r="N19" s="1">
        <f>I19/1000</f>
        <v>-2.3129999999999998E-2</v>
      </c>
      <c r="O19" s="1">
        <f t="shared" ref="O19:O31" si="2">N19/0.4</f>
        <v>-5.7824999999999994E-2</v>
      </c>
      <c r="P19" s="1">
        <f>N19*I19</f>
        <v>0.53499689999999989</v>
      </c>
      <c r="Q19" s="1">
        <f>(P19*10^-6)/D_Calculation_electrode_area!$H$22</f>
        <v>2.9722044025113707E-11</v>
      </c>
      <c r="R19" s="1">
        <f t="shared" ref="R19:R25" si="3">(P19*10^-6)/0.4</f>
        <v>1.3374922499999995E-6</v>
      </c>
      <c r="S19" s="43">
        <f>10^-G19</f>
        <v>3.0199517204020188E-8</v>
      </c>
      <c r="T19" s="43"/>
      <c r="U19" s="1"/>
      <c r="V19" s="163"/>
      <c r="W19" s="170">
        <f>V19*$Z$5*10^3</f>
        <v>0</v>
      </c>
    </row>
    <row r="20" spans="1:23">
      <c r="A20" s="5" t="s">
        <v>32</v>
      </c>
      <c r="B20" s="48" t="s">
        <v>45</v>
      </c>
      <c r="C20" s="44">
        <v>2</v>
      </c>
      <c r="D20" s="1">
        <v>7.65</v>
      </c>
      <c r="E20" s="1">
        <v>20.3</v>
      </c>
      <c r="F20" s="1">
        <v>18.8</v>
      </c>
      <c r="G20" s="1">
        <v>7.52</v>
      </c>
      <c r="H20" s="1">
        <v>7.91</v>
      </c>
      <c r="I20" s="1">
        <v>-455.9</v>
      </c>
      <c r="J20" s="1">
        <v>-459.7</v>
      </c>
      <c r="K20" s="1">
        <v>4.16</v>
      </c>
      <c r="L20" s="1"/>
      <c r="M20" s="1"/>
      <c r="N20" s="1">
        <f>I20/1000</f>
        <v>-0.45589999999999997</v>
      </c>
      <c r="O20" s="1">
        <f t="shared" si="2"/>
        <v>-1.1397499999999998</v>
      </c>
      <c r="P20" s="1">
        <f>N20*I20</f>
        <v>207.84480999999997</v>
      </c>
      <c r="Q20" s="1">
        <f>(P20*10^-6)/D_Calculation_electrode_area!$H$22</f>
        <v>1.1546931567662157E-8</v>
      </c>
      <c r="R20" s="1">
        <f t="shared" si="3"/>
        <v>5.1961202499999982E-4</v>
      </c>
      <c r="S20" s="43">
        <f>10^-G20</f>
        <v>3.0199517204020188E-8</v>
      </c>
      <c r="T20" s="43"/>
      <c r="U20" s="1"/>
      <c r="V20" s="163"/>
      <c r="W20" s="170">
        <f>V20*$Z$5*10^3</f>
        <v>0</v>
      </c>
    </row>
    <row r="21" spans="1:23">
      <c r="A21" s="5" t="s">
        <v>34</v>
      </c>
      <c r="B21" s="48" t="s">
        <v>45</v>
      </c>
      <c r="C21" s="44">
        <v>2</v>
      </c>
      <c r="D21" s="1">
        <v>7.26</v>
      </c>
      <c r="E21" s="1">
        <v>20.3</v>
      </c>
      <c r="F21" s="1">
        <v>18.8</v>
      </c>
      <c r="G21" s="1">
        <v>7.5</v>
      </c>
      <c r="H21" s="1">
        <v>7.88</v>
      </c>
      <c r="I21" s="1">
        <f>-0.713*1000</f>
        <v>-713</v>
      </c>
      <c r="J21" s="1">
        <v>-448.9</v>
      </c>
      <c r="K21" s="1">
        <v>263.10000000000002</v>
      </c>
      <c r="L21" s="1"/>
      <c r="M21" s="1"/>
      <c r="N21" s="1">
        <f>I21/1000</f>
        <v>-0.71299999999999997</v>
      </c>
      <c r="O21" s="1">
        <f t="shared" si="2"/>
        <v>-1.7824999999999998</v>
      </c>
      <c r="P21" s="1">
        <f>N21*I21</f>
        <v>508.36899999999997</v>
      </c>
      <c r="Q21" s="1">
        <f>(P21*10^-6)/D_Calculation_electrode_area!$H$22</f>
        <v>2.8242716544718357E-8</v>
      </c>
      <c r="R21" s="1">
        <f t="shared" si="3"/>
        <v>1.2709224999999998E-3</v>
      </c>
      <c r="S21" s="43">
        <f>10^-G21</f>
        <v>3.1622776601683699E-8</v>
      </c>
      <c r="T21" s="43"/>
      <c r="U21" s="1"/>
      <c r="V21" s="163"/>
      <c r="W21" s="170">
        <f>V21*$Z$5*10^3</f>
        <v>0</v>
      </c>
    </row>
    <row r="22" spans="1:23">
      <c r="A22" s="5" t="s">
        <v>35</v>
      </c>
      <c r="B22" s="48" t="s">
        <v>45</v>
      </c>
      <c r="C22" s="44">
        <v>2</v>
      </c>
      <c r="D22" s="1">
        <v>7.18</v>
      </c>
      <c r="E22" s="1">
        <v>20.3</v>
      </c>
      <c r="F22" s="1">
        <v>18.8</v>
      </c>
      <c r="G22" s="1">
        <v>7.45</v>
      </c>
      <c r="H22" s="1">
        <v>7.89</v>
      </c>
      <c r="I22" s="1">
        <f>-0.477*1000</f>
        <v>-477</v>
      </c>
      <c r="J22" s="1">
        <v>-450.5</v>
      </c>
      <c r="K22" s="1">
        <v>26.52</v>
      </c>
      <c r="L22" s="1"/>
      <c r="M22" s="1"/>
      <c r="N22" s="1">
        <f>I22/1000</f>
        <v>-0.47699999999999998</v>
      </c>
      <c r="O22" s="1">
        <f t="shared" si="2"/>
        <v>-1.1924999999999999</v>
      </c>
      <c r="P22" s="1">
        <f>N22*I22</f>
        <v>227.529</v>
      </c>
      <c r="Q22" s="1">
        <f>(P22*10^-6)/D_Calculation_electrode_area!$H$22</f>
        <v>1.264049745893873E-8</v>
      </c>
      <c r="R22" s="1">
        <f t="shared" si="3"/>
        <v>5.6882249999999992E-4</v>
      </c>
      <c r="S22" s="43">
        <f>10^-G22</f>
        <v>3.5481338923357426E-8</v>
      </c>
      <c r="T22" s="43"/>
      <c r="U22" s="1"/>
      <c r="V22" s="163"/>
      <c r="W22" s="170">
        <f>V22*$Z$5*10^3</f>
        <v>0</v>
      </c>
    </row>
    <row r="23" spans="1:23">
      <c r="A23" s="5" t="s">
        <v>36</v>
      </c>
      <c r="B23" s="48" t="s">
        <v>45</v>
      </c>
      <c r="C23" s="44">
        <v>2</v>
      </c>
      <c r="D23" s="1">
        <v>6.74</v>
      </c>
      <c r="E23" s="1">
        <v>20.2</v>
      </c>
      <c r="F23" s="1">
        <v>18.600000000000001</v>
      </c>
      <c r="G23" s="1">
        <v>7.51</v>
      </c>
      <c r="H23" s="1">
        <v>7.85</v>
      </c>
      <c r="I23" s="1">
        <v>-14.76</v>
      </c>
      <c r="J23" s="1">
        <v>-303.10000000000002</v>
      </c>
      <c r="K23" s="1">
        <v>-288.8</v>
      </c>
      <c r="L23" s="1"/>
      <c r="M23" s="1"/>
      <c r="N23" s="1">
        <f>I23/1000</f>
        <v>-1.4760000000000001E-2</v>
      </c>
      <c r="O23" s="1">
        <f t="shared" si="2"/>
        <v>-3.6900000000000002E-2</v>
      </c>
      <c r="P23" s="1">
        <f>N23*I23</f>
        <v>0.21785760000000001</v>
      </c>
      <c r="Q23" s="1">
        <f>(P23*10^-6)/D_Calculation_electrode_area!$H$21</f>
        <v>6.0207312093619999E-5</v>
      </c>
      <c r="R23" s="1">
        <f t="shared" si="3"/>
        <v>5.4464399999999999E-7</v>
      </c>
      <c r="S23" s="43">
        <f>10^-G23</f>
        <v>3.0902954325135814E-8</v>
      </c>
      <c r="T23" s="43"/>
      <c r="U23" s="1"/>
      <c r="V23" s="163"/>
      <c r="W23" s="170">
        <f>V23*$Z$5*10^3</f>
        <v>0</v>
      </c>
    </row>
    <row r="24" spans="1:23">
      <c r="A24" s="5" t="s">
        <v>37</v>
      </c>
      <c r="B24" s="48" t="s">
        <v>45</v>
      </c>
      <c r="C24" s="44">
        <v>2</v>
      </c>
      <c r="D24" s="1">
        <v>7.15</v>
      </c>
      <c r="E24" s="1">
        <v>20.3</v>
      </c>
      <c r="F24" s="1">
        <v>18.600000000000001</v>
      </c>
      <c r="G24" s="1">
        <v>7.54</v>
      </c>
      <c r="H24" s="1">
        <v>8.0500000000000007</v>
      </c>
      <c r="I24" s="1">
        <v>-29.61</v>
      </c>
      <c r="J24" s="1">
        <v>-387.6</v>
      </c>
      <c r="K24" s="1">
        <v>-358.1</v>
      </c>
      <c r="L24" s="1"/>
      <c r="M24" s="1"/>
      <c r="N24" s="1">
        <f>I24/1000</f>
        <v>-2.9610000000000001E-2</v>
      </c>
      <c r="O24" s="1">
        <f t="shared" si="2"/>
        <v>-7.4024999999999994E-2</v>
      </c>
      <c r="P24" s="1">
        <f>N24*I24</f>
        <v>0.87675210000000003</v>
      </c>
      <c r="Q24" s="1">
        <f>(P24*10^-6)/D_Calculation_electrode_area!$H$21</f>
        <v>2.4229995792406019E-4</v>
      </c>
      <c r="R24" s="1">
        <f t="shared" si="3"/>
        <v>2.1918802499999999E-6</v>
      </c>
      <c r="S24" s="43">
        <f>10^-G24</f>
        <v>2.8840315031265985E-8</v>
      </c>
      <c r="T24" s="43"/>
      <c r="U24" s="1"/>
      <c r="V24" s="163"/>
      <c r="W24" s="170">
        <f>V24*$Z$5*10^3</f>
        <v>0</v>
      </c>
    </row>
    <row r="25" spans="1:23">
      <c r="A25" s="5" t="s">
        <v>38</v>
      </c>
      <c r="B25" s="48" t="s">
        <v>45</v>
      </c>
      <c r="C25" s="44">
        <v>2</v>
      </c>
      <c r="D25" s="1">
        <v>7.17</v>
      </c>
      <c r="E25" s="1">
        <v>20.3</v>
      </c>
      <c r="F25" s="1">
        <v>18.5</v>
      </c>
      <c r="G25" s="1">
        <v>7.43</v>
      </c>
      <c r="H25" s="1">
        <v>8.1999999999999993</v>
      </c>
      <c r="I25" s="1">
        <v>-26.67</v>
      </c>
      <c r="J25" s="1">
        <v>-385</v>
      </c>
      <c r="K25" s="1">
        <v>-358.4</v>
      </c>
      <c r="L25" s="1"/>
      <c r="M25" s="1"/>
      <c r="N25" s="1">
        <f>I25/1000</f>
        <v>-2.6670000000000003E-2</v>
      </c>
      <c r="O25" s="1">
        <f t="shared" si="2"/>
        <v>-6.6674999999999998E-2</v>
      </c>
      <c r="P25" s="1">
        <f>N25*I25</f>
        <v>0.71128890000000011</v>
      </c>
      <c r="Q25" s="1">
        <f>(P25*10^-6)/D_Calculation_electrode_area!$H$21</f>
        <v>1.96572406888847E-4</v>
      </c>
      <c r="R25" s="1">
        <f t="shared" si="3"/>
        <v>1.77822225E-6</v>
      </c>
      <c r="S25" s="43">
        <f>10^-G25</f>
        <v>3.7153522909717246E-8</v>
      </c>
      <c r="T25" s="43"/>
      <c r="U25" s="1"/>
      <c r="V25" s="163"/>
      <c r="W25" s="170">
        <f>V25*$Z$5*10^3</f>
        <v>0</v>
      </c>
    </row>
    <row r="26" spans="1:23">
      <c r="A26" s="5" t="s">
        <v>39</v>
      </c>
      <c r="B26" s="48" t="s">
        <v>45</v>
      </c>
      <c r="C26" s="44">
        <v>2</v>
      </c>
      <c r="D26" s="1">
        <v>8.0500000000000007</v>
      </c>
      <c r="E26" s="1">
        <v>20.3</v>
      </c>
      <c r="F26" s="1">
        <v>18.8</v>
      </c>
      <c r="G26" s="1">
        <v>7.51</v>
      </c>
      <c r="H26" s="1">
        <v>8.0399999999999991</v>
      </c>
      <c r="I26" s="1"/>
      <c r="J26" s="1"/>
      <c r="K26" s="1"/>
      <c r="L26" s="1"/>
      <c r="M26" s="1"/>
      <c r="N26" s="1"/>
      <c r="O26" s="1"/>
      <c r="P26" s="1"/>
      <c r="Q26" s="1"/>
      <c r="R26" s="172"/>
      <c r="S26" s="43">
        <f>10^-G26</f>
        <v>3.0902954325135814E-8</v>
      </c>
      <c r="T26" s="43"/>
      <c r="U26" s="1"/>
      <c r="V26" s="163"/>
      <c r="W26" s="170">
        <f>V26*$Z$5*10^3</f>
        <v>0</v>
      </c>
    </row>
    <row r="27" spans="1:23">
      <c r="A27" s="5" t="s">
        <v>40</v>
      </c>
      <c r="B27" s="48" t="s">
        <v>45</v>
      </c>
      <c r="C27" s="44">
        <v>2</v>
      </c>
      <c r="D27" s="1">
        <v>7.15</v>
      </c>
      <c r="E27" s="1">
        <v>20.3</v>
      </c>
      <c r="F27" s="1">
        <v>18.8</v>
      </c>
      <c r="G27" s="1">
        <v>7.56</v>
      </c>
      <c r="H27" s="1">
        <v>7.95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43">
        <f>10^-G27</f>
        <v>2.75422870333816E-8</v>
      </c>
      <c r="T27" s="43"/>
      <c r="U27" s="1"/>
      <c r="V27" s="163"/>
      <c r="W27" s="170">
        <f>V27*$Z$5*10^3</f>
        <v>0</v>
      </c>
    </row>
    <row r="28" spans="1:23">
      <c r="A28" s="5" t="s">
        <v>41</v>
      </c>
      <c r="B28" s="48" t="s">
        <v>45</v>
      </c>
      <c r="C28" s="44">
        <v>2</v>
      </c>
      <c r="D28" s="1">
        <v>7.42</v>
      </c>
      <c r="E28" s="1">
        <v>20.399999999999999</v>
      </c>
      <c r="F28" s="1">
        <v>18.8</v>
      </c>
      <c r="G28" s="1">
        <v>7.51</v>
      </c>
      <c r="H28" s="1">
        <v>8.01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43">
        <f>10^-G28</f>
        <v>3.0902954325135814E-8</v>
      </c>
      <c r="T28" s="43"/>
      <c r="U28" s="1"/>
      <c r="V28" s="163"/>
      <c r="W28" s="170">
        <f>V28*$Z$5*10^3</f>
        <v>0</v>
      </c>
    </row>
    <row r="29" spans="1:23">
      <c r="A29" s="5" t="s">
        <v>42</v>
      </c>
      <c r="B29" s="48" t="s">
        <v>45</v>
      </c>
      <c r="C29" s="44">
        <v>2</v>
      </c>
      <c r="D29" s="1">
        <v>8.8699999999999992</v>
      </c>
      <c r="E29" s="1">
        <v>19.84</v>
      </c>
      <c r="F29" s="1">
        <v>19</v>
      </c>
      <c r="G29" s="1">
        <v>7.71</v>
      </c>
      <c r="H29" s="1">
        <v>8.34</v>
      </c>
      <c r="I29" s="1">
        <v>-442.9</v>
      </c>
      <c r="J29" s="1">
        <v>-420.3</v>
      </c>
      <c r="K29" s="1">
        <v>22.88</v>
      </c>
      <c r="L29" s="1"/>
      <c r="M29" s="1"/>
      <c r="N29" s="1">
        <f>I29/1000</f>
        <v>-0.44289999999999996</v>
      </c>
      <c r="O29" s="1">
        <f t="shared" si="2"/>
        <v>-1.1072499999999998</v>
      </c>
      <c r="P29" s="1">
        <f>N29*I29</f>
        <v>196.16040999999998</v>
      </c>
      <c r="Q29" s="1">
        <f>(P29*10^-6)/D_Calculation_electrode_area!$H$21</f>
        <v>5.4211058164977753E-2</v>
      </c>
      <c r="R29" s="1">
        <f t="shared" ref="R28:R85" si="4">(P29*10^-6)/0.4</f>
        <v>4.9040102499999991E-4</v>
      </c>
      <c r="S29" s="43">
        <f>10^-G29</f>
        <v>1.9498445997580434E-8</v>
      </c>
      <c r="T29" s="43"/>
      <c r="U29" s="1"/>
      <c r="V29" s="163"/>
      <c r="W29" s="170">
        <f>V29*$Z$5*10^3</f>
        <v>0</v>
      </c>
    </row>
    <row r="30" spans="1:23">
      <c r="A30" s="5" t="s">
        <v>43</v>
      </c>
      <c r="B30" s="48" t="s">
        <v>45</v>
      </c>
      <c r="C30" s="44">
        <v>2</v>
      </c>
      <c r="D30" s="1">
        <v>8.98</v>
      </c>
      <c r="E30" s="1">
        <v>19.79</v>
      </c>
      <c r="F30" s="1">
        <v>19.100000000000001</v>
      </c>
      <c r="G30" s="1">
        <v>7.75</v>
      </c>
      <c r="H30" s="1">
        <v>8.3699999999999992</v>
      </c>
      <c r="I30" s="1">
        <v>-494</v>
      </c>
      <c r="J30" s="1">
        <v>-337.2</v>
      </c>
      <c r="K30" s="1">
        <v>55.11</v>
      </c>
      <c r="L30" s="1"/>
      <c r="M30" s="1"/>
      <c r="N30" s="1">
        <f>I30/1000</f>
        <v>-0.49399999999999999</v>
      </c>
      <c r="O30" s="1">
        <f t="shared" si="2"/>
        <v>-1.2349999999999999</v>
      </c>
      <c r="P30" s="1">
        <f>N30*I30</f>
        <v>244.036</v>
      </c>
      <c r="Q30" s="1">
        <f>(P30*10^-6)/D_Calculation_electrode_area!$H$21</f>
        <v>6.7441997038793458E-2</v>
      </c>
      <c r="R30" s="1">
        <f t="shared" si="4"/>
        <v>6.1008999999999998E-4</v>
      </c>
      <c r="S30" s="43">
        <f>10^-G30</f>
        <v>1.7782794100389218E-8</v>
      </c>
      <c r="T30" s="43"/>
      <c r="U30" s="1"/>
      <c r="V30" s="163"/>
      <c r="W30" s="170">
        <f>V30*$Z$5*10^3</f>
        <v>0</v>
      </c>
    </row>
    <row r="31" spans="1:23">
      <c r="A31" s="34" t="s">
        <v>44</v>
      </c>
      <c r="B31" s="50" t="s">
        <v>45</v>
      </c>
      <c r="C31" s="66">
        <v>2</v>
      </c>
      <c r="D31" s="2">
        <v>9.01</v>
      </c>
      <c r="E31" s="2">
        <v>19.89</v>
      </c>
      <c r="F31" s="2">
        <v>19.2</v>
      </c>
      <c r="G31" s="2">
        <v>7.81</v>
      </c>
      <c r="H31" s="2">
        <v>8.36</v>
      </c>
      <c r="I31" s="2">
        <v>-477.2</v>
      </c>
      <c r="J31" s="2">
        <v>-331.4</v>
      </c>
      <c r="K31" s="2">
        <v>39.07</v>
      </c>
      <c r="L31" s="2"/>
      <c r="M31" s="2"/>
      <c r="N31" s="2">
        <f>I31/1000</f>
        <v>-0.47720000000000001</v>
      </c>
      <c r="O31" s="2">
        <f t="shared" si="2"/>
        <v>-1.1930000000000001</v>
      </c>
      <c r="P31" s="2">
        <f>N31*I31</f>
        <v>227.71984</v>
      </c>
      <c r="Q31" s="2">
        <f>(P31*10^-6)/D_Calculation_electrode_area!$H$21</f>
        <v>6.293284914911948E-2</v>
      </c>
      <c r="R31" s="2">
        <f t="shared" si="4"/>
        <v>5.6929959999999988E-4</v>
      </c>
      <c r="S31" s="78">
        <f>10^-G31</f>
        <v>1.5488166189124814E-8</v>
      </c>
      <c r="T31" s="78"/>
      <c r="U31" s="2"/>
      <c r="V31" s="166"/>
      <c r="W31" s="174">
        <f>V31*$Z$5*10^3</f>
        <v>0</v>
      </c>
    </row>
    <row r="32" spans="1:23">
      <c r="A32" s="35" t="s">
        <v>23</v>
      </c>
      <c r="B32" s="51" t="s">
        <v>46</v>
      </c>
      <c r="C32" s="67">
        <v>4</v>
      </c>
      <c r="D32" s="12">
        <v>5.95</v>
      </c>
      <c r="E32" s="12">
        <v>20.2</v>
      </c>
      <c r="F32" s="12">
        <v>18.600000000000001</v>
      </c>
      <c r="G32" s="12">
        <v>7.36</v>
      </c>
      <c r="H32" s="12">
        <v>8.06</v>
      </c>
      <c r="I32" s="12">
        <v>-18.559999999999999</v>
      </c>
      <c r="J32" s="12">
        <v>-331.9</v>
      </c>
      <c r="K32" s="12">
        <v>-313.3</v>
      </c>
      <c r="L32" s="12"/>
      <c r="M32" s="12"/>
      <c r="N32" s="12">
        <f>I32/1000</f>
        <v>-1.856E-2</v>
      </c>
      <c r="O32" s="12">
        <f>N32/0.4</f>
        <v>-4.6399999999999997E-2</v>
      </c>
      <c r="P32" s="12">
        <f>N32*I32</f>
        <v>0.34447359999999999</v>
      </c>
      <c r="Q32" s="12">
        <f>(P32*10^-6)/D_Calculation_electrode_area!$H$22</f>
        <v>1.9137418375114718E-11</v>
      </c>
      <c r="R32" s="168">
        <f t="shared" si="4"/>
        <v>8.6118399999999999E-7</v>
      </c>
      <c r="S32" s="63">
        <f>10^-G32</f>
        <v>4.3651583224016566E-8</v>
      </c>
      <c r="T32" s="63"/>
      <c r="U32" s="12"/>
      <c r="V32" s="162"/>
      <c r="W32" s="169">
        <f>V32*$Z$5*10^3</f>
        <v>0</v>
      </c>
    </row>
    <row r="33" spans="1:23">
      <c r="A33" s="5" t="s">
        <v>27</v>
      </c>
      <c r="B33" s="48" t="s">
        <v>46</v>
      </c>
      <c r="C33" s="44">
        <v>4</v>
      </c>
      <c r="D33" s="1">
        <v>6.72</v>
      </c>
      <c r="E33" s="1">
        <v>20.5</v>
      </c>
      <c r="F33" s="1">
        <v>18.5</v>
      </c>
      <c r="G33" s="1">
        <v>7.48</v>
      </c>
      <c r="H33" s="1">
        <v>8.2799999999999994</v>
      </c>
      <c r="I33" s="1">
        <v>-30.99</v>
      </c>
      <c r="J33" s="1">
        <v>-390.3</v>
      </c>
      <c r="K33" s="1">
        <v>-359.6</v>
      </c>
      <c r="L33" s="1"/>
      <c r="M33" s="1"/>
      <c r="N33" s="1">
        <f>I33/1000</f>
        <v>-3.0989999999999997E-2</v>
      </c>
      <c r="O33" s="1">
        <f>N33/0.4</f>
        <v>-7.7474999999999988E-2</v>
      </c>
      <c r="P33" s="1">
        <f>N33*I33</f>
        <v>0.96038009999999985</v>
      </c>
      <c r="Q33" s="1">
        <f>(P33*10^-6)/D_Calculation_electrode_area!$H$22</f>
        <v>5.3354439274401599E-11</v>
      </c>
      <c r="R33" s="1">
        <f t="shared" si="4"/>
        <v>2.4009502499999993E-6</v>
      </c>
      <c r="S33" s="43">
        <f>10^-G33</f>
        <v>3.3113112148259005E-8</v>
      </c>
      <c r="T33" s="43"/>
      <c r="U33" s="1"/>
      <c r="V33" s="163"/>
      <c r="W33" s="170">
        <f>V33*$Z$5*10^3</f>
        <v>0</v>
      </c>
    </row>
    <row r="34" spans="1:23">
      <c r="A34" s="5" t="s">
        <v>30</v>
      </c>
      <c r="B34" s="48" t="s">
        <v>46</v>
      </c>
      <c r="C34" s="44">
        <v>4</v>
      </c>
      <c r="D34" s="1">
        <v>6.95</v>
      </c>
      <c r="E34" s="1">
        <v>20.399999999999999</v>
      </c>
      <c r="F34" s="1">
        <v>18.5</v>
      </c>
      <c r="G34" s="1">
        <v>7.51</v>
      </c>
      <c r="H34" s="1">
        <v>8.2100000000000009</v>
      </c>
      <c r="I34" s="1">
        <v>-15.12</v>
      </c>
      <c r="J34" s="1">
        <v>-344.7</v>
      </c>
      <c r="K34" s="1">
        <v>-330</v>
      </c>
      <c r="L34" s="1"/>
      <c r="M34" s="1"/>
      <c r="N34" s="1">
        <f>I34/1000</f>
        <v>-1.512E-2</v>
      </c>
      <c r="O34" s="1">
        <f t="shared" ref="O34:O97" si="5">N34/0.4</f>
        <v>-3.78E-2</v>
      </c>
      <c r="P34" s="1">
        <f>N34*I34</f>
        <v>0.2286144</v>
      </c>
      <c r="Q34" s="1">
        <f>(P34*10^-6)/D_Calculation_electrode_area!$H$22</f>
        <v>1.2700797446816899E-11</v>
      </c>
      <c r="R34" s="1">
        <f t="shared" si="4"/>
        <v>5.7153599999999988E-7</v>
      </c>
      <c r="S34" s="43">
        <f>10^-G34</f>
        <v>3.0902954325135814E-8</v>
      </c>
      <c r="T34" s="43"/>
      <c r="U34" s="1"/>
      <c r="V34" s="163"/>
      <c r="W34" s="170">
        <f>V34*$Z$5*10^3</f>
        <v>0</v>
      </c>
    </row>
    <row r="35" spans="1:23">
      <c r="A35" s="5" t="s">
        <v>32</v>
      </c>
      <c r="B35" s="48" t="s">
        <v>46</v>
      </c>
      <c r="C35" s="44">
        <v>4</v>
      </c>
      <c r="D35" s="1">
        <v>7.23</v>
      </c>
      <c r="E35" s="1">
        <v>20.399999999999999</v>
      </c>
      <c r="F35" s="1">
        <v>18.8</v>
      </c>
      <c r="G35" s="1">
        <v>7.52</v>
      </c>
      <c r="H35" s="1">
        <v>8.18</v>
      </c>
      <c r="I35" s="1">
        <v>-462.7</v>
      </c>
      <c r="J35" s="1">
        <v>-453.7</v>
      </c>
      <c r="K35" s="1">
        <v>12.48</v>
      </c>
      <c r="L35" s="1"/>
      <c r="M35" s="1"/>
      <c r="N35" s="1">
        <f>I35/1000</f>
        <v>-0.4627</v>
      </c>
      <c r="O35" s="1">
        <f t="shared" si="5"/>
        <v>-1.1567499999999999</v>
      </c>
      <c r="P35" s="1">
        <f>N35*I35</f>
        <v>214.09128999999999</v>
      </c>
      <c r="Q35" s="1">
        <f>(P35*10^-6)/D_Calculation_electrode_area!$H$22</f>
        <v>1.1893958164567658E-8</v>
      </c>
      <c r="R35" s="1">
        <f t="shared" si="4"/>
        <v>5.3522822499999987E-4</v>
      </c>
      <c r="S35" s="43">
        <f>10^-G35</f>
        <v>3.0199517204020188E-8</v>
      </c>
      <c r="T35" s="43"/>
      <c r="U35" s="1"/>
      <c r="V35" s="163"/>
      <c r="W35" s="170">
        <f>V35*$Z$5*10^3</f>
        <v>0</v>
      </c>
    </row>
    <row r="36" spans="1:23">
      <c r="A36" s="5" t="s">
        <v>34</v>
      </c>
      <c r="B36" s="48" t="s">
        <v>46</v>
      </c>
      <c r="C36" s="44">
        <v>4</v>
      </c>
      <c r="D36" s="1">
        <v>7.23</v>
      </c>
      <c r="E36" s="1">
        <v>20.399999999999999</v>
      </c>
      <c r="F36" s="1">
        <v>18.899999999999999</v>
      </c>
      <c r="G36" s="1">
        <v>7.57</v>
      </c>
      <c r="H36" s="1">
        <v>8.16</v>
      </c>
      <c r="I36" s="1">
        <v>-689</v>
      </c>
      <c r="J36" s="1">
        <v>-435.8</v>
      </c>
      <c r="K36" s="1">
        <v>257.5</v>
      </c>
      <c r="L36" s="1"/>
      <c r="M36" s="1"/>
      <c r="N36" s="1">
        <f>I36/1000</f>
        <v>-0.68899999999999995</v>
      </c>
      <c r="O36" s="1">
        <f t="shared" si="5"/>
        <v>-1.7224999999999997</v>
      </c>
      <c r="P36" s="1">
        <f>N36*I36</f>
        <v>474.72099999999995</v>
      </c>
      <c r="Q36" s="1">
        <f>(P36*10^-6)/D_Calculation_electrode_area!$H$22</f>
        <v>2.6373383587168461E-8</v>
      </c>
      <c r="R36" s="1">
        <f t="shared" si="4"/>
        <v>1.1868024999999998E-3</v>
      </c>
      <c r="S36" s="43">
        <f>10^-G36</f>
        <v>2.6915348039269097E-8</v>
      </c>
      <c r="T36" s="43"/>
      <c r="U36" s="1"/>
      <c r="V36" s="163"/>
      <c r="W36" s="170">
        <f>V36*$Z$5*10^3</f>
        <v>0</v>
      </c>
    </row>
    <row r="37" spans="1:23">
      <c r="A37" s="5" t="s">
        <v>35</v>
      </c>
      <c r="B37" s="48" t="s">
        <v>46</v>
      </c>
      <c r="C37" s="44">
        <v>4</v>
      </c>
      <c r="D37" s="1">
        <v>7.08</v>
      </c>
      <c r="E37" s="1">
        <v>20.399999999999999</v>
      </c>
      <c r="F37" s="1">
        <v>18.8</v>
      </c>
      <c r="G37" s="1">
        <v>7.46</v>
      </c>
      <c r="H37" s="1">
        <v>8.1199999999999992</v>
      </c>
      <c r="I37" s="1">
        <v>-539.6</v>
      </c>
      <c r="J37" s="1">
        <v>-449.1</v>
      </c>
      <c r="K37" s="1">
        <v>91.7</v>
      </c>
      <c r="L37" s="1"/>
      <c r="M37" s="1"/>
      <c r="N37" s="1">
        <f>I37/1000</f>
        <v>-0.53959999999999997</v>
      </c>
      <c r="O37" s="1">
        <f t="shared" si="5"/>
        <v>-1.3489999999999998</v>
      </c>
      <c r="P37" s="1">
        <f>N37*I37</f>
        <v>291.16816</v>
      </c>
      <c r="Q37" s="1">
        <f>(P37*10^-6)/D_Calculation_electrode_area!$H$22</f>
        <v>1.6176005637100613E-8</v>
      </c>
      <c r="R37" s="1">
        <f t="shared" si="4"/>
        <v>7.2792039999999988E-4</v>
      </c>
      <c r="S37" s="43">
        <f>10^-G37</f>
        <v>3.4673685045253171E-8</v>
      </c>
      <c r="T37" s="43"/>
      <c r="U37" s="1"/>
      <c r="V37" s="163"/>
      <c r="W37" s="170">
        <f>V37*$Z$5*10^3</f>
        <v>0</v>
      </c>
    </row>
    <row r="38" spans="1:23">
      <c r="A38" s="5" t="s">
        <v>36</v>
      </c>
      <c r="B38" s="48" t="s">
        <v>46</v>
      </c>
      <c r="C38" s="44">
        <v>4</v>
      </c>
      <c r="D38" s="1">
        <v>6.67</v>
      </c>
      <c r="E38" s="1">
        <v>20.3</v>
      </c>
      <c r="F38" s="1">
        <v>18.7</v>
      </c>
      <c r="G38" s="1">
        <v>7.47</v>
      </c>
      <c r="H38" s="1">
        <v>8.17</v>
      </c>
      <c r="I38" s="1">
        <v>-22.42</v>
      </c>
      <c r="J38" s="1">
        <v>-341.5</v>
      </c>
      <c r="K38" s="1">
        <v>-318.7</v>
      </c>
      <c r="L38" s="1"/>
      <c r="M38" s="1"/>
      <c r="N38" s="1">
        <f>I38/1000</f>
        <v>-2.2420000000000002E-2</v>
      </c>
      <c r="O38" s="1">
        <f t="shared" si="5"/>
        <v>-5.6050000000000003E-2</v>
      </c>
      <c r="P38" s="1">
        <f>N38*I38</f>
        <v>0.50265640000000011</v>
      </c>
      <c r="Q38" s="1">
        <f>(P38*10^-6)/D_Calculation_electrode_area!$H$21</f>
        <v>1.3891455129706515E-4</v>
      </c>
      <c r="R38" s="1">
        <f t="shared" si="4"/>
        <v>1.2566410000000002E-6</v>
      </c>
      <c r="S38" s="43">
        <f>10^-G38</f>
        <v>3.3884415613920266E-8</v>
      </c>
      <c r="T38" s="43"/>
      <c r="U38" s="1"/>
      <c r="V38" s="163"/>
      <c r="W38" s="170">
        <f>V38*$Z$5*10^3</f>
        <v>0</v>
      </c>
    </row>
    <row r="39" spans="1:23">
      <c r="A39" s="5" t="s">
        <v>37</v>
      </c>
      <c r="B39" s="48" t="s">
        <v>46</v>
      </c>
      <c r="C39" s="44">
        <v>4</v>
      </c>
      <c r="D39" s="1">
        <v>7.53</v>
      </c>
      <c r="E39" s="1">
        <v>20.399999999999999</v>
      </c>
      <c r="F39" s="1">
        <v>18.7</v>
      </c>
      <c r="G39" s="1">
        <v>7.43</v>
      </c>
      <c r="H39" s="1">
        <v>8.34</v>
      </c>
      <c r="I39" s="1">
        <v>-32.340000000000003</v>
      </c>
      <c r="J39" s="1">
        <v>-386.4</v>
      </c>
      <c r="K39" s="1">
        <v>-354</v>
      </c>
      <c r="L39" s="1"/>
      <c r="M39" s="1"/>
      <c r="N39" s="1">
        <f>I39/1000</f>
        <v>-3.2340000000000001E-2</v>
      </c>
      <c r="O39" s="1">
        <f t="shared" si="5"/>
        <v>-8.0849999999999991E-2</v>
      </c>
      <c r="P39" s="1">
        <f>N39*I39</f>
        <v>1.0458756000000002</v>
      </c>
      <c r="Q39" s="1">
        <f>(P39*10^-6)/D_Calculation_electrode_area!$H$21</f>
        <v>2.8903907258825073E-4</v>
      </c>
      <c r="R39" s="1">
        <f t="shared" si="4"/>
        <v>2.6146890000000005E-6</v>
      </c>
      <c r="S39" s="43">
        <f>10^-G39</f>
        <v>3.7153522909717246E-8</v>
      </c>
      <c r="T39" s="43"/>
      <c r="U39" s="1"/>
      <c r="V39" s="163"/>
      <c r="W39" s="170">
        <f>V39*$Z$5*10^3</f>
        <v>0</v>
      </c>
    </row>
    <row r="40" spans="1:23">
      <c r="A40" s="5" t="s">
        <v>38</v>
      </c>
      <c r="B40" s="48" t="s">
        <v>46</v>
      </c>
      <c r="C40" s="44">
        <v>4</v>
      </c>
      <c r="D40" s="1">
        <v>7.63</v>
      </c>
      <c r="E40" s="1">
        <v>20.399999999999999</v>
      </c>
      <c r="F40" s="1">
        <v>18.7</v>
      </c>
      <c r="G40" s="1">
        <v>7.4</v>
      </c>
      <c r="H40" s="1">
        <v>8.3800000000000008</v>
      </c>
      <c r="I40" s="1">
        <v>-19.59</v>
      </c>
      <c r="J40" s="1">
        <v>-349.8</v>
      </c>
      <c r="K40" s="1">
        <v>-330</v>
      </c>
      <c r="L40" s="1"/>
      <c r="M40" s="1"/>
      <c r="N40" s="1">
        <f>I40/1000</f>
        <v>-1.959E-2</v>
      </c>
      <c r="O40" s="1">
        <f t="shared" si="5"/>
        <v>-4.8974999999999998E-2</v>
      </c>
      <c r="P40" s="1">
        <f>N40*I40</f>
        <v>0.3837681</v>
      </c>
      <c r="Q40" s="1">
        <f>(P40*10^-6)/D_Calculation_electrode_area!$H$21</f>
        <v>1.060584793382263E-4</v>
      </c>
      <c r="R40" s="1">
        <f t="shared" si="4"/>
        <v>9.5942024999999985E-7</v>
      </c>
      <c r="S40" s="43">
        <f>10^-G40</f>
        <v>3.981071705534957E-8</v>
      </c>
      <c r="T40" s="43"/>
      <c r="U40" s="1"/>
      <c r="V40" s="163"/>
      <c r="W40" s="170">
        <f>V40*$Z$5*10^3</f>
        <v>0</v>
      </c>
    </row>
    <row r="41" spans="1:23">
      <c r="A41" s="5" t="s">
        <v>39</v>
      </c>
      <c r="B41" s="48" t="s">
        <v>46</v>
      </c>
      <c r="C41" s="44">
        <v>4</v>
      </c>
      <c r="D41" s="1">
        <v>7.81</v>
      </c>
      <c r="E41" s="1">
        <v>20.5</v>
      </c>
      <c r="F41" s="1">
        <v>18.899999999999999</v>
      </c>
      <c r="G41" s="1">
        <v>7.48</v>
      </c>
      <c r="H41" s="1">
        <v>8.26</v>
      </c>
      <c r="I41" s="1"/>
      <c r="J41" s="1"/>
      <c r="K41" s="1"/>
      <c r="L41" s="1"/>
      <c r="M41" s="1"/>
      <c r="N41" s="1"/>
      <c r="O41" s="1"/>
      <c r="P41" s="1"/>
      <c r="Q41" s="1"/>
      <c r="R41" s="172"/>
      <c r="S41" s="43">
        <f>10^-G41</f>
        <v>3.3113112148259005E-8</v>
      </c>
      <c r="T41" s="43"/>
      <c r="U41" s="1"/>
      <c r="V41" s="163"/>
      <c r="W41" s="170">
        <f>V41*$Z$5*10^3</f>
        <v>0</v>
      </c>
    </row>
    <row r="42" spans="1:23">
      <c r="A42" s="5" t="s">
        <v>40</v>
      </c>
      <c r="B42" s="48" t="s">
        <v>46</v>
      </c>
      <c r="C42" s="44">
        <v>4</v>
      </c>
      <c r="D42" s="1">
        <v>7.58</v>
      </c>
      <c r="E42" s="1">
        <v>20.3</v>
      </c>
      <c r="F42" s="1">
        <v>18.899999999999999</v>
      </c>
      <c r="G42" s="1">
        <v>7.51</v>
      </c>
      <c r="H42" s="1">
        <v>8.2100000000000009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43">
        <f>10^-G42</f>
        <v>3.0902954325135814E-8</v>
      </c>
      <c r="T42" s="43"/>
      <c r="U42" s="1"/>
      <c r="V42" s="163"/>
      <c r="W42" s="170">
        <f>V42*$Z$5*10^3</f>
        <v>0</v>
      </c>
    </row>
    <row r="43" spans="1:23">
      <c r="A43" s="5" t="s">
        <v>41</v>
      </c>
      <c r="B43" s="48" t="s">
        <v>46</v>
      </c>
      <c r="C43" s="44">
        <v>4</v>
      </c>
      <c r="D43" s="1">
        <v>7.33</v>
      </c>
      <c r="E43" s="1">
        <v>20.5</v>
      </c>
      <c r="F43" s="1">
        <v>19</v>
      </c>
      <c r="G43" s="1">
        <v>7.41</v>
      </c>
      <c r="H43" s="1">
        <v>8.19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43">
        <f>10^-G43</f>
        <v>3.890451449942805E-8</v>
      </c>
      <c r="T43" s="43"/>
      <c r="U43" s="1"/>
      <c r="V43" s="163"/>
      <c r="W43" s="170">
        <f>V43*$Z$5*10^3</f>
        <v>0</v>
      </c>
    </row>
    <row r="44" spans="1:23">
      <c r="A44" s="5" t="s">
        <v>42</v>
      </c>
      <c r="B44" s="48" t="s">
        <v>46</v>
      </c>
      <c r="C44" s="44">
        <v>4</v>
      </c>
      <c r="D44" s="1">
        <v>5.12</v>
      </c>
      <c r="E44" s="1">
        <v>19.93</v>
      </c>
      <c r="F44" s="1">
        <v>19.2</v>
      </c>
      <c r="G44" s="1">
        <v>7.73</v>
      </c>
      <c r="H44" s="1">
        <v>8.15</v>
      </c>
      <c r="I44" s="1">
        <v>-443.4</v>
      </c>
      <c r="J44" s="1">
        <v>-447</v>
      </c>
      <c r="K44" s="1">
        <v>-5.58</v>
      </c>
      <c r="L44" s="1"/>
      <c r="M44" s="1"/>
      <c r="N44" s="1">
        <f>I44/1000</f>
        <v>-0.44339999999999996</v>
      </c>
      <c r="O44" s="1">
        <f t="shared" si="5"/>
        <v>-1.1084999999999998</v>
      </c>
      <c r="P44" s="1">
        <f>N44*I44</f>
        <v>196.60355999999996</v>
      </c>
      <c r="Q44" s="1">
        <f>(P44*10^-6)/D_Calculation_electrode_area!$H$21</f>
        <v>5.4333527476832316E-2</v>
      </c>
      <c r="R44" s="1">
        <f t="shared" ref="R44:R107" si="6">(P44*10^-6)/0.4</f>
        <v>4.9150889999999986E-4</v>
      </c>
      <c r="S44" s="43">
        <f>10^-G44</f>
        <v>1.8620871366628593E-8</v>
      </c>
      <c r="T44" s="43"/>
      <c r="U44" s="1"/>
      <c r="V44" s="163"/>
      <c r="W44" s="170">
        <f>V44*$Z$5*10^3</f>
        <v>0</v>
      </c>
    </row>
    <row r="45" spans="1:23">
      <c r="A45" s="5" t="s">
        <v>43</v>
      </c>
      <c r="B45" s="48" t="s">
        <v>46</v>
      </c>
      <c r="C45" s="44">
        <v>4</v>
      </c>
      <c r="D45" s="1">
        <v>4.9000000000000004</v>
      </c>
      <c r="E45" s="1">
        <v>19.84</v>
      </c>
      <c r="F45" s="1">
        <v>19.2</v>
      </c>
      <c r="G45" s="1">
        <v>7.73</v>
      </c>
      <c r="H45" s="1">
        <v>8.1300000000000008</v>
      </c>
      <c r="I45" s="1">
        <v>-480.4</v>
      </c>
      <c r="J45" s="1">
        <v>-443.1</v>
      </c>
      <c r="K45" s="1">
        <v>17</v>
      </c>
      <c r="L45" s="1"/>
      <c r="M45" s="1"/>
      <c r="N45" s="1">
        <f>I45/1000</f>
        <v>-0.48039999999999999</v>
      </c>
      <c r="O45" s="1">
        <f t="shared" si="5"/>
        <v>-1.2009999999999998</v>
      </c>
      <c r="P45" s="1">
        <f>N45*I45</f>
        <v>230.78415999999999</v>
      </c>
      <c r="Q45" s="1">
        <f>(P45*10^-6)/D_Calculation_electrode_area!$H$21</f>
        <v>6.3779707237130737E-2</v>
      </c>
      <c r="R45" s="1">
        <f t="shared" si="6"/>
        <v>5.7696039999999987E-4</v>
      </c>
      <c r="S45" s="43">
        <f>10^-G45</f>
        <v>1.8620871366628593E-8</v>
      </c>
      <c r="T45" s="43"/>
      <c r="U45" s="1"/>
      <c r="V45" s="163"/>
      <c r="W45" s="170">
        <f>V45*$Z$5*10^3</f>
        <v>0</v>
      </c>
    </row>
    <row r="46" spans="1:23">
      <c r="A46" s="6" t="s">
        <v>44</v>
      </c>
      <c r="B46" s="49" t="s">
        <v>46</v>
      </c>
      <c r="C46" s="68">
        <v>4</v>
      </c>
      <c r="D46" s="3">
        <v>5.41</v>
      </c>
      <c r="E46" s="3">
        <v>19.920000000000002</v>
      </c>
      <c r="F46" s="3">
        <v>19.3</v>
      </c>
      <c r="G46" s="3">
        <v>7.68</v>
      </c>
      <c r="H46" s="3">
        <v>8.23</v>
      </c>
      <c r="I46" s="3">
        <v>-460.1</v>
      </c>
      <c r="J46" s="3">
        <v>-455.1</v>
      </c>
      <c r="K46" s="3">
        <v>-79</v>
      </c>
      <c r="L46" s="3"/>
      <c r="M46" s="3"/>
      <c r="N46" s="3">
        <f>I46/1000</f>
        <v>-0.46010000000000001</v>
      </c>
      <c r="O46" s="3">
        <f t="shared" si="5"/>
        <v>-1.15025</v>
      </c>
      <c r="P46" s="3">
        <f>N46*I46</f>
        <v>211.69201000000001</v>
      </c>
      <c r="Q46" s="3">
        <f>(P46*10^-6)/D_Calculation_electrode_area!$H$21</f>
        <v>5.850338438409184E-2</v>
      </c>
      <c r="R46" s="3">
        <f t="shared" si="6"/>
        <v>5.292300249999999E-4</v>
      </c>
      <c r="S46" s="77">
        <f>10^-G46</f>
        <v>2.0892961308540368E-8</v>
      </c>
      <c r="T46" s="77"/>
      <c r="U46" s="3"/>
      <c r="V46" s="164"/>
      <c r="W46" s="171">
        <f>V46*$Z$5*10^3</f>
        <v>0</v>
      </c>
    </row>
    <row r="47" spans="1:23">
      <c r="A47" s="7" t="s">
        <v>23</v>
      </c>
      <c r="B47" s="47" t="s">
        <v>47</v>
      </c>
      <c r="C47" s="70">
        <v>7</v>
      </c>
      <c r="D47" s="4">
        <v>6.61</v>
      </c>
      <c r="E47" s="4">
        <v>20.3</v>
      </c>
      <c r="F47" s="4">
        <v>18.5</v>
      </c>
      <c r="G47" s="4">
        <v>7.03</v>
      </c>
      <c r="H47" s="4">
        <v>8.08</v>
      </c>
      <c r="I47" s="4">
        <v>-17.55</v>
      </c>
      <c r="J47" s="4">
        <v>-312.89999999999998</v>
      </c>
      <c r="K47" s="4">
        <v>-295.2</v>
      </c>
      <c r="L47" s="4"/>
      <c r="M47" s="4"/>
      <c r="N47" s="4">
        <f>I47/1000</f>
        <v>-1.755E-2</v>
      </c>
      <c r="O47" s="4">
        <f t="shared" si="5"/>
        <v>-4.3874999999999997E-2</v>
      </c>
      <c r="P47" s="4">
        <f>N47*I47</f>
        <v>0.30800250000000001</v>
      </c>
      <c r="Q47" s="4">
        <f>(P47*10^-6)/D_Calculation_electrode_area!$H$22</f>
        <v>1.711124656020453E-11</v>
      </c>
      <c r="R47" s="172">
        <f t="shared" si="6"/>
        <v>7.7000625000000005E-7</v>
      </c>
      <c r="S47" s="167">
        <f>10^-G47</f>
        <v>9.3325430079699072E-8</v>
      </c>
      <c r="T47" s="167"/>
      <c r="U47" s="4"/>
      <c r="V47" s="165"/>
      <c r="W47" s="173">
        <f>V47*$Z$5*10^3</f>
        <v>0</v>
      </c>
    </row>
    <row r="48" spans="1:23">
      <c r="A48" s="5" t="s">
        <v>27</v>
      </c>
      <c r="B48" s="48" t="s">
        <v>47</v>
      </c>
      <c r="C48" s="44">
        <v>7</v>
      </c>
      <c r="D48" s="1">
        <v>6.87</v>
      </c>
      <c r="E48" s="1">
        <v>20.6</v>
      </c>
      <c r="F48" s="1">
        <v>18.600000000000001</v>
      </c>
      <c r="G48" s="1">
        <v>7.13</v>
      </c>
      <c r="H48" s="1">
        <v>8.32</v>
      </c>
      <c r="I48" s="1">
        <v>-39.04</v>
      </c>
      <c r="J48" s="1">
        <v>-404.9</v>
      </c>
      <c r="K48" s="1">
        <v>-365.8</v>
      </c>
      <c r="L48" s="1"/>
      <c r="M48" s="1"/>
      <c r="N48" s="1">
        <f>I48/1000</f>
        <v>-3.9039999999999998E-2</v>
      </c>
      <c r="O48" s="1">
        <f t="shared" si="5"/>
        <v>-9.7599999999999992E-2</v>
      </c>
      <c r="P48" s="1">
        <f>N48*I48</f>
        <v>1.5241216</v>
      </c>
      <c r="Q48" s="1">
        <f>(P48*10^-6)/D_Calculation_electrode_area!$H$22</f>
        <v>8.4673405200715658E-11</v>
      </c>
      <c r="R48" s="1">
        <f t="shared" si="6"/>
        <v>3.8103039999999999E-6</v>
      </c>
      <c r="S48" s="43">
        <f>10^-G48</f>
        <v>7.413102413009154E-8</v>
      </c>
      <c r="T48" s="43"/>
      <c r="U48" s="1"/>
      <c r="V48" s="163"/>
      <c r="W48" s="170">
        <f>V48*$Z$5*10^3</f>
        <v>0</v>
      </c>
    </row>
    <row r="49" spans="1:23">
      <c r="A49" s="5" t="s">
        <v>30</v>
      </c>
      <c r="B49" s="48" t="s">
        <v>47</v>
      </c>
      <c r="C49" s="44">
        <v>7</v>
      </c>
      <c r="D49" s="1">
        <v>7.53</v>
      </c>
      <c r="E49" s="1">
        <v>20.7</v>
      </c>
      <c r="F49" s="1">
        <v>18.5</v>
      </c>
      <c r="G49" s="1">
        <v>7.31</v>
      </c>
      <c r="H49" s="1">
        <v>8.2200000000000006</v>
      </c>
      <c r="I49" s="1">
        <v>-22.32</v>
      </c>
      <c r="J49" s="1">
        <v>-333.1</v>
      </c>
      <c r="K49" s="1">
        <v>-370.6</v>
      </c>
      <c r="L49" s="1"/>
      <c r="M49" s="1"/>
      <c r="N49" s="1">
        <f>I49/1000</f>
        <v>-2.232E-2</v>
      </c>
      <c r="O49" s="1">
        <f t="shared" si="5"/>
        <v>-5.5799999999999995E-2</v>
      </c>
      <c r="P49" s="1">
        <f>N49*I49</f>
        <v>0.49818239999999997</v>
      </c>
      <c r="Q49" s="1">
        <f>(P49*10^-6)/D_Calculation_electrode_area!$H$22</f>
        <v>2.7676794436260864E-11</v>
      </c>
      <c r="R49" s="1">
        <f t="shared" si="4"/>
        <v>1.2454559999999998E-6</v>
      </c>
      <c r="S49" s="43">
        <f>10^-G49</f>
        <v>4.8977881936844561E-8</v>
      </c>
      <c r="T49" s="43"/>
      <c r="U49" s="1"/>
      <c r="V49" s="163"/>
      <c r="W49" s="170">
        <f>V49*$Z$5*10^3</f>
        <v>0</v>
      </c>
    </row>
    <row r="50" spans="1:23">
      <c r="A50" s="5" t="s">
        <v>32</v>
      </c>
      <c r="B50" s="48" t="s">
        <v>47</v>
      </c>
      <c r="C50" s="44">
        <v>7</v>
      </c>
      <c r="D50" s="1">
        <v>7.74</v>
      </c>
      <c r="E50" s="1">
        <v>20.6</v>
      </c>
      <c r="F50" s="1">
        <v>18.600000000000001</v>
      </c>
      <c r="G50" s="1">
        <v>7.41</v>
      </c>
      <c r="H50" s="1">
        <v>8.1</v>
      </c>
      <c r="I50" s="1">
        <v>-494.5</v>
      </c>
      <c r="J50" s="1">
        <v>-415.7</v>
      </c>
      <c r="K50" s="1">
        <v>87.5</v>
      </c>
      <c r="L50" s="1"/>
      <c r="M50" s="1"/>
      <c r="N50" s="1">
        <f>I50/1000</f>
        <v>-0.4945</v>
      </c>
      <c r="O50" s="1">
        <f t="shared" si="5"/>
        <v>-1.2362499999999998</v>
      </c>
      <c r="P50" s="1">
        <f>N50*I50</f>
        <v>244.53025</v>
      </c>
      <c r="Q50" s="1">
        <f>(P50*10^-6)/D_Calculation_electrode_area!$H$22</f>
        <v>1.3585011157956361E-8</v>
      </c>
      <c r="R50" s="1">
        <f t="shared" si="4"/>
        <v>6.1132562499999991E-4</v>
      </c>
      <c r="S50" s="43">
        <f>10^-G50</f>
        <v>3.890451449942805E-8</v>
      </c>
      <c r="T50" s="43"/>
      <c r="U50" s="1"/>
      <c r="V50" s="163"/>
      <c r="W50" s="170">
        <f>V50*$Z$5*10^3</f>
        <v>0</v>
      </c>
    </row>
    <row r="51" spans="1:23">
      <c r="A51" s="5" t="s">
        <v>34</v>
      </c>
      <c r="B51" s="48" t="s">
        <v>47</v>
      </c>
      <c r="C51" s="44">
        <v>7</v>
      </c>
      <c r="D51" s="1">
        <v>6.68</v>
      </c>
      <c r="E51" s="1">
        <v>20.6</v>
      </c>
      <c r="F51" s="1">
        <v>18.8</v>
      </c>
      <c r="G51" s="1">
        <v>7.34</v>
      </c>
      <c r="H51" s="1">
        <v>8.06</v>
      </c>
      <c r="I51" s="1">
        <v>-645</v>
      </c>
      <c r="J51" s="1">
        <v>-386.4</v>
      </c>
      <c r="K51" s="1">
        <v>262.5</v>
      </c>
      <c r="L51" s="1"/>
      <c r="M51" s="1"/>
      <c r="N51" s="1">
        <f>I51/1000</f>
        <v>-0.64500000000000002</v>
      </c>
      <c r="O51" s="1">
        <f t="shared" si="5"/>
        <v>-1.6125</v>
      </c>
      <c r="P51" s="1">
        <f>N51*I51</f>
        <v>416.02500000000003</v>
      </c>
      <c r="Q51" s="1">
        <f>(P51*10^-6)/D_Calculation_electrode_area!$H$22</f>
        <v>2.3112495353800991E-8</v>
      </c>
      <c r="R51" s="1">
        <f t="shared" si="4"/>
        <v>1.0400625E-3</v>
      </c>
      <c r="S51" s="43">
        <f>10^-G51</f>
        <v>4.5708818961487464E-8</v>
      </c>
      <c r="T51" s="43"/>
      <c r="U51" s="1"/>
      <c r="V51" s="163"/>
      <c r="W51" s="170">
        <f>V51*$Z$5*10^3</f>
        <v>0</v>
      </c>
    </row>
    <row r="52" spans="1:23">
      <c r="A52" s="5" t="s">
        <v>35</v>
      </c>
      <c r="B52" s="48" t="s">
        <v>47</v>
      </c>
      <c r="C52" s="44">
        <v>7</v>
      </c>
      <c r="D52" s="1">
        <v>6.89</v>
      </c>
      <c r="E52" s="1">
        <v>20.6</v>
      </c>
      <c r="F52" s="1">
        <v>18.899999999999999</v>
      </c>
      <c r="G52" s="1">
        <v>7.28</v>
      </c>
      <c r="H52" s="1">
        <v>8.01</v>
      </c>
      <c r="I52" s="1">
        <v>-586</v>
      </c>
      <c r="J52" s="1">
        <v>-389.7</v>
      </c>
      <c r="K52" s="1">
        <v>198.7</v>
      </c>
      <c r="L52" s="1"/>
      <c r="M52" s="1"/>
      <c r="N52" s="1">
        <f>I52/1000</f>
        <v>-0.58599999999999997</v>
      </c>
      <c r="O52" s="1">
        <f t="shared" si="5"/>
        <v>-1.4649999999999999</v>
      </c>
      <c r="P52" s="1">
        <f>N52*I52</f>
        <v>343.39599999999996</v>
      </c>
      <c r="Q52" s="1">
        <f>(P52*10^-6)/D_Calculation_electrode_area!$H$22</f>
        <v>1.9077551720482767E-8</v>
      </c>
      <c r="R52" s="1">
        <f t="shared" si="4"/>
        <v>8.5848999999999984E-4</v>
      </c>
      <c r="S52" s="43">
        <f>10^-G52</f>
        <v>5.2480746024977185E-8</v>
      </c>
      <c r="T52" s="43"/>
      <c r="U52" s="1"/>
      <c r="V52" s="163"/>
      <c r="W52" s="170">
        <f>V52*$Z$5*10^3</f>
        <v>0</v>
      </c>
    </row>
    <row r="53" spans="1:23">
      <c r="A53" s="5" t="s">
        <v>36</v>
      </c>
      <c r="B53" s="48" t="s">
        <v>47</v>
      </c>
      <c r="C53" s="44">
        <v>7</v>
      </c>
      <c r="D53" s="1">
        <v>7.33</v>
      </c>
      <c r="E53" s="1">
        <v>20.399999999999999</v>
      </c>
      <c r="F53" s="1">
        <v>18.600000000000001</v>
      </c>
      <c r="G53" s="1">
        <v>7.12</v>
      </c>
      <c r="H53" s="1">
        <v>8.25</v>
      </c>
      <c r="I53" s="1">
        <v>-31.64</v>
      </c>
      <c r="J53" s="1">
        <v>-359.5</v>
      </c>
      <c r="K53" s="1">
        <v>-328.1</v>
      </c>
      <c r="L53" s="1"/>
      <c r="M53" s="1"/>
      <c r="N53" s="1">
        <f>I53/1000</f>
        <v>-3.1640000000000001E-2</v>
      </c>
      <c r="O53" s="1">
        <f t="shared" si="5"/>
        <v>-7.9100000000000004E-2</v>
      </c>
      <c r="P53" s="1">
        <f>N53*I53</f>
        <v>1.0010896</v>
      </c>
      <c r="Q53" s="1">
        <f>(P53*10^-6)/D_Calculation_electrode_area!$H$21</f>
        <v>2.7666197544119281E-4</v>
      </c>
      <c r="R53" s="1">
        <f t="shared" si="4"/>
        <v>2.502724E-6</v>
      </c>
      <c r="S53" s="43">
        <f>10^-G53</f>
        <v>7.5857757502918145E-8</v>
      </c>
      <c r="T53" s="43"/>
      <c r="U53" s="1"/>
      <c r="V53" s="163"/>
      <c r="W53" s="170">
        <f>V53*$Z$5*10^3</f>
        <v>0</v>
      </c>
    </row>
    <row r="54" spans="1:23">
      <c r="A54" s="5" t="s">
        <v>37</v>
      </c>
      <c r="B54" s="48" t="s">
        <v>47</v>
      </c>
      <c r="C54" s="44">
        <v>7</v>
      </c>
      <c r="D54" s="1">
        <v>7.1</v>
      </c>
      <c r="E54" s="1">
        <v>20.7</v>
      </c>
      <c r="F54" s="1">
        <v>18.600000000000001</v>
      </c>
      <c r="G54" s="1">
        <v>7.09</v>
      </c>
      <c r="H54" s="1">
        <v>8.26</v>
      </c>
      <c r="I54" s="1">
        <v>-38.69</v>
      </c>
      <c r="J54" s="1">
        <v>-395.4</v>
      </c>
      <c r="K54" s="1">
        <v>-357.4</v>
      </c>
      <c r="L54" s="1"/>
      <c r="M54" s="1"/>
      <c r="N54" s="1">
        <f>I54/1000</f>
        <v>-3.8689999999999995E-2</v>
      </c>
      <c r="O54" s="1">
        <f t="shared" si="5"/>
        <v>-9.6724999999999978E-2</v>
      </c>
      <c r="P54" s="1">
        <f>N54*I54</f>
        <v>1.4969160999999997</v>
      </c>
      <c r="Q54" s="1">
        <f>(P54*10^-6)/D_Calculation_electrode_area!$H$21</f>
        <v>4.1368900975070173E-4</v>
      </c>
      <c r="R54" s="1">
        <f t="shared" si="4"/>
        <v>3.7422902499999993E-6</v>
      </c>
      <c r="S54" s="43">
        <f>10^-G54</f>
        <v>8.128305161640995E-8</v>
      </c>
      <c r="T54" s="43"/>
      <c r="U54" s="1"/>
      <c r="V54" s="163"/>
      <c r="W54" s="170">
        <f>V54*$Z$5*10^3</f>
        <v>0</v>
      </c>
    </row>
    <row r="55" spans="1:23">
      <c r="A55" s="5" t="s">
        <v>38</v>
      </c>
      <c r="B55" s="48" t="s">
        <v>47</v>
      </c>
      <c r="C55" s="44">
        <v>7</v>
      </c>
      <c r="D55" s="1">
        <v>7.17</v>
      </c>
      <c r="E55" s="1">
        <v>20.6</v>
      </c>
      <c r="F55" s="1">
        <v>18.5</v>
      </c>
      <c r="G55" s="1">
        <v>7.19</v>
      </c>
      <c r="H55" s="1">
        <v>8.2799999999999994</v>
      </c>
      <c r="I55" s="1">
        <v>-31.85</v>
      </c>
      <c r="J55" s="1">
        <v>149.30000000000001</v>
      </c>
      <c r="K55" s="1">
        <v>180.6</v>
      </c>
      <c r="L55" s="1"/>
      <c r="M55" s="1"/>
      <c r="N55" s="1">
        <f>I55/1000</f>
        <v>-3.1850000000000003E-2</v>
      </c>
      <c r="O55" s="1">
        <f t="shared" si="5"/>
        <v>-7.9625000000000001E-2</v>
      </c>
      <c r="P55" s="1">
        <f>N55*I55</f>
        <v>1.0144225000000002</v>
      </c>
      <c r="Q55" s="1">
        <f>(P55*10^-6)/D_Calculation_electrode_area!$H$21</f>
        <v>2.8034666705357194E-4</v>
      </c>
      <c r="R55" s="1">
        <f t="shared" si="4"/>
        <v>2.5360562500000005E-6</v>
      </c>
      <c r="S55" s="43">
        <f>10^-G55</f>
        <v>6.4565422903465397E-8</v>
      </c>
      <c r="T55" s="43"/>
      <c r="U55" s="1"/>
      <c r="V55" s="163"/>
      <c r="W55" s="170">
        <f>V55*$Z$5*10^3</f>
        <v>0</v>
      </c>
    </row>
    <row r="56" spans="1:23">
      <c r="A56" s="5" t="s">
        <v>39</v>
      </c>
      <c r="B56" s="48" t="s">
        <v>47</v>
      </c>
      <c r="C56" s="44">
        <v>7</v>
      </c>
      <c r="D56" s="1">
        <v>7.83</v>
      </c>
      <c r="E56" s="1">
        <v>20.8</v>
      </c>
      <c r="F56" s="1">
        <v>18.7</v>
      </c>
      <c r="G56" s="1">
        <v>7.34</v>
      </c>
      <c r="H56" s="1">
        <v>8.18</v>
      </c>
      <c r="I56" s="1"/>
      <c r="J56" s="1"/>
      <c r="K56" s="1"/>
      <c r="L56" s="1"/>
      <c r="M56" s="1"/>
      <c r="N56" s="1"/>
      <c r="O56" s="1"/>
      <c r="P56" s="1"/>
      <c r="Q56" s="1"/>
      <c r="R56" s="172"/>
      <c r="S56" s="43">
        <f>10^-G56</f>
        <v>4.5708818961487464E-8</v>
      </c>
      <c r="T56" s="43"/>
      <c r="U56" s="1"/>
      <c r="V56" s="163"/>
      <c r="W56" s="170">
        <f>V56*$Z$5*10^3</f>
        <v>0</v>
      </c>
    </row>
    <row r="57" spans="1:23">
      <c r="A57" s="5" t="s">
        <v>40</v>
      </c>
      <c r="B57" s="48" t="s">
        <v>47</v>
      </c>
      <c r="C57" s="44">
        <v>7</v>
      </c>
      <c r="D57" s="1">
        <v>7.81</v>
      </c>
      <c r="E57" s="1">
        <v>20.6</v>
      </c>
      <c r="F57" s="1">
        <v>18.600000000000001</v>
      </c>
      <c r="G57" s="1">
        <v>7.27</v>
      </c>
      <c r="H57" s="1">
        <v>8.19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43">
        <f>10^-G57</f>
        <v>5.3703179637025192E-8</v>
      </c>
      <c r="T57" s="43"/>
      <c r="U57" s="1"/>
      <c r="V57" s="163"/>
      <c r="W57" s="170">
        <f>V57*$Z$5*10^3</f>
        <v>0</v>
      </c>
    </row>
    <row r="58" spans="1:23">
      <c r="A58" s="5" t="s">
        <v>41</v>
      </c>
      <c r="B58" s="48" t="s">
        <v>47</v>
      </c>
      <c r="C58" s="44">
        <v>7</v>
      </c>
      <c r="D58" s="1">
        <v>7.88</v>
      </c>
      <c r="E58" s="1">
        <v>20.7</v>
      </c>
      <c r="F58" s="1">
        <v>18.7</v>
      </c>
      <c r="G58" s="1">
        <v>7.22</v>
      </c>
      <c r="H58" s="1">
        <v>8.14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43">
        <f>10^-G58</f>
        <v>6.0255958607435649E-8</v>
      </c>
      <c r="T58" s="43"/>
      <c r="U58" s="1"/>
      <c r="V58" s="163"/>
      <c r="W58" s="170">
        <f>V58*$Z$5*10^3</f>
        <v>0</v>
      </c>
    </row>
    <row r="59" spans="1:23">
      <c r="A59" s="5" t="s">
        <v>42</v>
      </c>
      <c r="B59" s="48" t="s">
        <v>47</v>
      </c>
      <c r="C59" s="44">
        <v>7</v>
      </c>
      <c r="D59" s="1">
        <v>7.52</v>
      </c>
      <c r="E59" s="1">
        <v>20</v>
      </c>
      <c r="F59" s="1">
        <v>19</v>
      </c>
      <c r="G59" s="1">
        <v>7.35</v>
      </c>
      <c r="H59" s="1">
        <v>8.1</v>
      </c>
      <c r="I59" s="1">
        <v>-425.4</v>
      </c>
      <c r="J59" s="1">
        <v>-428.2</v>
      </c>
      <c r="K59" s="1">
        <v>4.13</v>
      </c>
      <c r="L59" s="1"/>
      <c r="M59" s="1"/>
      <c r="N59" s="1">
        <f>I59/1000</f>
        <v>-0.4254</v>
      </c>
      <c r="O59" s="1">
        <f t="shared" si="5"/>
        <v>-1.0634999999999999</v>
      </c>
      <c r="P59" s="1">
        <f>N59*I59</f>
        <v>180.96516</v>
      </c>
      <c r="Q59" s="1">
        <f>(P59*10^-6)/D_Calculation_electrode_area!$H$21</f>
        <v>5.0011685918654562E-2</v>
      </c>
      <c r="R59" s="1">
        <f t="shared" si="6"/>
        <v>4.5241289999999995E-4</v>
      </c>
      <c r="S59" s="43">
        <f>10^-G59</f>
        <v>4.466835921509628E-8</v>
      </c>
      <c r="T59" s="43"/>
      <c r="U59" s="1"/>
      <c r="V59" s="163"/>
      <c r="W59" s="170">
        <f>V59*$Z$5*10^3</f>
        <v>0</v>
      </c>
    </row>
    <row r="60" spans="1:23">
      <c r="A60" s="5" t="s">
        <v>43</v>
      </c>
      <c r="B60" s="48" t="s">
        <v>47</v>
      </c>
      <c r="C60" s="44">
        <v>7</v>
      </c>
      <c r="D60" s="1">
        <v>7.22</v>
      </c>
      <c r="E60" s="1">
        <v>19.920000000000002</v>
      </c>
      <c r="F60" s="1">
        <v>18.899999999999999</v>
      </c>
      <c r="G60" s="1">
        <v>7.31</v>
      </c>
      <c r="H60" s="1">
        <v>8.1</v>
      </c>
      <c r="I60" s="1">
        <v>-462.9</v>
      </c>
      <c r="J60" s="1">
        <v>-462.9</v>
      </c>
      <c r="K60" s="1">
        <v>27.65</v>
      </c>
      <c r="L60" s="1"/>
      <c r="M60" s="1"/>
      <c r="N60" s="1">
        <f>I60/1000</f>
        <v>-0.46289999999999998</v>
      </c>
      <c r="O60" s="1">
        <f t="shared" si="5"/>
        <v>-1.1572499999999999</v>
      </c>
      <c r="P60" s="1">
        <f>N60*I60</f>
        <v>214.27640999999997</v>
      </c>
      <c r="Q60" s="1">
        <f>(P60*10^-6)/D_Calculation_electrode_area!$H$21</f>
        <v>5.9217611371696358E-2</v>
      </c>
      <c r="R60" s="1">
        <f t="shared" si="6"/>
        <v>5.3569102499999993E-4</v>
      </c>
      <c r="S60" s="43">
        <f>10^-G60</f>
        <v>4.8977881936844561E-8</v>
      </c>
      <c r="T60" s="43"/>
      <c r="U60" s="1"/>
      <c r="V60" s="163"/>
      <c r="W60" s="170">
        <f>V60*$Z$5*10^3</f>
        <v>0</v>
      </c>
    </row>
    <row r="61" spans="1:23">
      <c r="A61" s="34" t="s">
        <v>44</v>
      </c>
      <c r="B61" s="50" t="s">
        <v>47</v>
      </c>
      <c r="C61" s="66">
        <v>7</v>
      </c>
      <c r="D61" s="2">
        <v>7.32</v>
      </c>
      <c r="E61" s="2">
        <v>20.100000000000001</v>
      </c>
      <c r="F61" s="2">
        <v>18.899999999999999</v>
      </c>
      <c r="G61" s="2">
        <v>7.36</v>
      </c>
      <c r="H61" s="2">
        <v>8.01</v>
      </c>
      <c r="I61" s="2">
        <v>-392.9</v>
      </c>
      <c r="J61" s="2">
        <v>-392.9</v>
      </c>
      <c r="K61" s="2">
        <v>-12.74</v>
      </c>
      <c r="L61" s="2"/>
      <c r="M61" s="2"/>
      <c r="N61" s="2">
        <f>I61/1000</f>
        <v>-0.39289999999999997</v>
      </c>
      <c r="O61" s="2">
        <f t="shared" si="5"/>
        <v>-0.98224999999999985</v>
      </c>
      <c r="P61" s="2">
        <f>N61*I61</f>
        <v>154.37040999999999</v>
      </c>
      <c r="Q61" s="2">
        <f>(P61*10^-6)/D_Calculation_electrode_area!$H$21</f>
        <v>4.266193813247772E-2</v>
      </c>
      <c r="R61" s="2">
        <f t="shared" si="6"/>
        <v>3.8592602499999993E-4</v>
      </c>
      <c r="S61" s="78">
        <f>10^-G61</f>
        <v>4.3651583224016566E-8</v>
      </c>
      <c r="T61" s="78"/>
      <c r="U61" s="2"/>
      <c r="V61" s="166"/>
      <c r="W61" s="174">
        <f>V61*$Z$5*10^3</f>
        <v>0</v>
      </c>
    </row>
    <row r="62" spans="1:23">
      <c r="A62" s="35" t="s">
        <v>23</v>
      </c>
      <c r="B62" s="51" t="s">
        <v>48</v>
      </c>
      <c r="C62" s="67">
        <v>9</v>
      </c>
      <c r="D62" s="12">
        <v>6.51</v>
      </c>
      <c r="E62" s="12">
        <v>20.399999999999999</v>
      </c>
      <c r="F62" s="12">
        <v>19.3</v>
      </c>
      <c r="G62" s="12">
        <v>7.09</v>
      </c>
      <c r="H62" s="12">
        <v>8.1769999999999996</v>
      </c>
      <c r="I62" s="12">
        <v>-24.06</v>
      </c>
      <c r="J62" s="12">
        <v>-346.7</v>
      </c>
      <c r="K62" s="12">
        <v>-322.60000000000002</v>
      </c>
      <c r="L62" s="12">
        <f>0.198*10</f>
        <v>1.98</v>
      </c>
      <c r="M62" s="12">
        <v>475</v>
      </c>
      <c r="N62" s="12">
        <f>I62/1000</f>
        <v>-2.4059999999999998E-2</v>
      </c>
      <c r="O62" s="12">
        <f t="shared" si="5"/>
        <v>-6.0149999999999995E-2</v>
      </c>
      <c r="P62" s="12">
        <f>N62*I62</f>
        <v>0.57888359999999994</v>
      </c>
      <c r="Q62" s="12">
        <f>(P62*10^-6)/D_Calculation_electrode_area!$H$22</f>
        <v>3.2160193534983685E-11</v>
      </c>
      <c r="R62" s="168">
        <f t="shared" si="6"/>
        <v>1.4472089999999997E-6</v>
      </c>
      <c r="S62" s="63">
        <f>10^-G62</f>
        <v>8.128305161640995E-8</v>
      </c>
      <c r="T62" s="63">
        <f>(M62*10^-3/$Z$4)</f>
        <v>4.9446923152194509E-3</v>
      </c>
      <c r="U62" s="12">
        <f>(L62*10^-3/$Z$3)</f>
        <v>5.8097091389658952E-5</v>
      </c>
      <c r="V62" s="162">
        <f>T62+U62</f>
        <v>5.0027894066091098E-3</v>
      </c>
      <c r="W62" s="169">
        <f>V62*$Z$5*10^3</f>
        <v>160.4144423229211</v>
      </c>
    </row>
    <row r="63" spans="1:23">
      <c r="A63" s="5" t="s">
        <v>27</v>
      </c>
      <c r="B63" s="48" t="s">
        <v>48</v>
      </c>
      <c r="C63" s="44">
        <v>9</v>
      </c>
      <c r="D63" s="1">
        <v>7.06</v>
      </c>
      <c r="E63" s="1">
        <v>20.8</v>
      </c>
      <c r="F63" s="1">
        <v>19.100000000000001</v>
      </c>
      <c r="G63" s="1">
        <v>7.0720000000000001</v>
      </c>
      <c r="H63" s="1">
        <v>8.36</v>
      </c>
      <c r="I63" s="1">
        <v>-35.08</v>
      </c>
      <c r="J63" s="1">
        <v>-388.8</v>
      </c>
      <c r="K63" s="1">
        <v>-353.7</v>
      </c>
      <c r="L63" s="1">
        <f>0.33*10</f>
        <v>3.3000000000000003</v>
      </c>
      <c r="M63" s="1">
        <v>479</v>
      </c>
      <c r="N63" s="1">
        <f>I63/1000</f>
        <v>-3.508E-2</v>
      </c>
      <c r="O63" s="1">
        <f t="shared" si="5"/>
        <v>-8.77E-2</v>
      </c>
      <c r="P63" s="1">
        <f>N63*I63</f>
        <v>1.2306063999999999</v>
      </c>
      <c r="Q63" s="1">
        <f>(P63*10^-6)/D_Calculation_electrode_area!$H$22</f>
        <v>6.8367008478715849E-11</v>
      </c>
      <c r="R63" s="1">
        <f t="shared" si="6"/>
        <v>3.0765159999999993E-6</v>
      </c>
      <c r="S63" s="43">
        <f>10^-G63</f>
        <v>8.472274141405952E-8</v>
      </c>
      <c r="T63" s="43">
        <f>(M63*10^-3/$Z$4)</f>
        <v>4.986331829452878E-3</v>
      </c>
      <c r="U63" s="1">
        <f>(L63*10^-3/$Z$3)</f>
        <v>9.6828485649431601E-5</v>
      </c>
      <c r="V63" s="163">
        <f>T63+U63</f>
        <v>5.0831603151023095E-3</v>
      </c>
      <c r="W63" s="170">
        <f>V63*$Z$5*10^3</f>
        <v>162.99153550375553</v>
      </c>
    </row>
    <row r="64" spans="1:23">
      <c r="A64" s="5" t="s">
        <v>30</v>
      </c>
      <c r="B64" s="48" t="s">
        <v>48</v>
      </c>
      <c r="C64" s="44">
        <v>9</v>
      </c>
      <c r="D64" s="1">
        <v>7.38</v>
      </c>
      <c r="E64" s="1">
        <v>20.8</v>
      </c>
      <c r="F64" s="1">
        <v>19.100000000000001</v>
      </c>
      <c r="G64" s="1">
        <v>7.2050000000000001</v>
      </c>
      <c r="H64" s="1">
        <v>8.4700000000000006</v>
      </c>
      <c r="I64" s="1">
        <v>-76.349999999999994</v>
      </c>
      <c r="J64" s="1">
        <v>-107.2</v>
      </c>
      <c r="K64" s="1">
        <v>-31.07</v>
      </c>
      <c r="L64" s="1">
        <f>1.88*2</f>
        <v>3.76</v>
      </c>
      <c r="M64" s="1">
        <v>345</v>
      </c>
      <c r="N64" s="1">
        <f>I64/1000</f>
        <v>-7.6350000000000001E-2</v>
      </c>
      <c r="O64" s="1">
        <f t="shared" si="5"/>
        <v>-0.19087499999999999</v>
      </c>
      <c r="P64" s="1">
        <f>N64*I64</f>
        <v>5.8293225</v>
      </c>
      <c r="Q64" s="1">
        <f>(P64*10^-6)/D_Calculation_electrode_area!$H$22</f>
        <v>3.2385118489768058E-10</v>
      </c>
      <c r="R64" s="1">
        <f t="shared" si="4"/>
        <v>1.4573306249999997E-5</v>
      </c>
      <c r="S64" s="43">
        <f>10^-G64</f>
        <v>6.2373483548241788E-8</v>
      </c>
      <c r="T64" s="43">
        <f>(M64*10^-3/$Z$4)</f>
        <v>3.5914081026330747E-3</v>
      </c>
      <c r="U64" s="1">
        <f>(L64*10^-3/$Z$3)</f>
        <v>1.1032578970965537E-4</v>
      </c>
      <c r="V64" s="163">
        <f>T64+U64</f>
        <v>3.7017338923427301E-3</v>
      </c>
      <c r="W64" s="170">
        <f>V64*$Z$5*10^3</f>
        <v>118.69609725796963</v>
      </c>
    </row>
    <row r="65" spans="1:23">
      <c r="A65" s="5" t="s">
        <v>32</v>
      </c>
      <c r="B65" s="48" t="s">
        <v>48</v>
      </c>
      <c r="C65" s="44">
        <v>9</v>
      </c>
      <c r="D65" s="1">
        <v>7.34</v>
      </c>
      <c r="E65" s="1">
        <v>20.7</v>
      </c>
      <c r="F65" s="1">
        <v>19.3</v>
      </c>
      <c r="G65" s="1">
        <v>7.2850000000000001</v>
      </c>
      <c r="H65" s="1">
        <v>8.0530000000000008</v>
      </c>
      <c r="I65" s="1">
        <v>-552</v>
      </c>
      <c r="J65" s="1">
        <v>-421.7</v>
      </c>
      <c r="K65" s="1">
        <v>94.9</v>
      </c>
      <c r="L65" s="1">
        <f>0.338*10</f>
        <v>3.3800000000000003</v>
      </c>
      <c r="M65" s="1">
        <v>433</v>
      </c>
      <c r="N65" s="1">
        <f>I65/1000</f>
        <v>-0.55200000000000005</v>
      </c>
      <c r="O65" s="1">
        <f t="shared" si="5"/>
        <v>-1.3800000000000001</v>
      </c>
      <c r="P65" s="1">
        <f>N65*I65</f>
        <v>304.70400000000001</v>
      </c>
      <c r="Q65" s="1">
        <f>(P65*10^-6)/D_Calculation_electrode_area!$H$22</f>
        <v>1.6927996597042429E-8</v>
      </c>
      <c r="R65" s="1">
        <f t="shared" si="4"/>
        <v>7.6175999999999989E-4</v>
      </c>
      <c r="S65" s="43">
        <f>10^-G65</f>
        <v>5.1880003892896032E-8</v>
      </c>
      <c r="T65" s="43">
        <f>(M65*10^-3/$Z$4)</f>
        <v>4.5074774157684676E-3</v>
      </c>
      <c r="U65" s="1">
        <f>(L65*10^-3/$Z$3)</f>
        <v>9.9175842877296603E-5</v>
      </c>
      <c r="V65" s="163">
        <f>T65+U65</f>
        <v>4.6066532586457641E-3</v>
      </c>
      <c r="W65" s="170">
        <f>V65*$Z$5*10^3</f>
        <v>147.71233673847641</v>
      </c>
    </row>
    <row r="66" spans="1:23">
      <c r="A66" s="5" t="s">
        <v>34</v>
      </c>
      <c r="B66" s="48" t="s">
        <v>48</v>
      </c>
      <c r="C66" s="44">
        <v>9</v>
      </c>
      <c r="D66" s="1">
        <v>6.88</v>
      </c>
      <c r="E66" s="1">
        <v>20.8</v>
      </c>
      <c r="F66" s="1">
        <v>19.2</v>
      </c>
      <c r="G66" s="1">
        <v>7.3319999999999999</v>
      </c>
      <c r="H66" s="1">
        <v>8.0310000000000006</v>
      </c>
      <c r="I66" s="1">
        <v>-682</v>
      </c>
      <c r="J66" s="1">
        <v>-416.4</v>
      </c>
      <c r="K66" s="1">
        <v>264.5</v>
      </c>
      <c r="L66" s="1">
        <f>0.52*10</f>
        <v>5.2</v>
      </c>
      <c r="M66" s="1">
        <v>387</v>
      </c>
      <c r="N66" s="1">
        <f>I66/1000</f>
        <v>-0.68200000000000005</v>
      </c>
      <c r="O66" s="1">
        <f t="shared" si="5"/>
        <v>-1.7050000000000001</v>
      </c>
      <c r="P66" s="1">
        <f>N66*I66</f>
        <v>465.12400000000002</v>
      </c>
      <c r="Q66" s="1">
        <f>(P66*10^-6)/D_Calculation_electrode_area!$H$22</f>
        <v>2.5840217027681829E-8</v>
      </c>
      <c r="R66" s="1">
        <f t="shared" si="4"/>
        <v>1.16281E-3</v>
      </c>
      <c r="S66" s="43">
        <f>10^-G66</f>
        <v>4.6558609352295778E-8</v>
      </c>
      <c r="T66" s="43">
        <f>(M66*10^-3/$Z$4)</f>
        <v>4.028623002084058E-3</v>
      </c>
      <c r="U66" s="1">
        <f>(L66*10^-3/$Z$3)</f>
        <v>1.5257821981122554E-4</v>
      </c>
      <c r="V66" s="163">
        <f>T66+U66</f>
        <v>4.1812012218952832E-3</v>
      </c>
      <c r="W66" s="170">
        <f>V66*$Z$5*10^3</f>
        <v>134.07021718007226</v>
      </c>
    </row>
    <row r="67" spans="1:23">
      <c r="A67" s="5" t="s">
        <v>35</v>
      </c>
      <c r="B67" s="48" t="s">
        <v>48</v>
      </c>
      <c r="C67" s="44">
        <v>9</v>
      </c>
      <c r="D67" s="1">
        <v>7.38</v>
      </c>
      <c r="E67" s="1">
        <v>20.7</v>
      </c>
      <c r="F67" s="1">
        <v>19.3</v>
      </c>
      <c r="G67" s="1">
        <v>7.23</v>
      </c>
      <c r="H67" s="1">
        <v>8.0169999999999995</v>
      </c>
      <c r="I67" s="1">
        <v>-651</v>
      </c>
      <c r="J67" s="1">
        <v>-420.9</v>
      </c>
      <c r="K67" s="1">
        <v>288.3</v>
      </c>
      <c r="L67" s="1">
        <f>0.366*10</f>
        <v>3.66</v>
      </c>
      <c r="M67" s="1">
        <v>517</v>
      </c>
      <c r="N67" s="1">
        <f>I67/1000</f>
        <v>-0.65100000000000002</v>
      </c>
      <c r="O67" s="1">
        <f t="shared" si="5"/>
        <v>-1.6274999999999999</v>
      </c>
      <c r="P67" s="1">
        <f>N67*I67</f>
        <v>423.80099999999999</v>
      </c>
      <c r="Q67" s="1">
        <f>(P67*10^-6)/D_Calculation_electrode_area!$H$22</f>
        <v>2.3544495266958025E-8</v>
      </c>
      <c r="R67" s="1">
        <f t="shared" si="4"/>
        <v>1.0595024999999999E-3</v>
      </c>
      <c r="S67" s="43">
        <f>10^-G67</f>
        <v>5.8884365535558776E-8</v>
      </c>
      <c r="T67" s="43">
        <f>(M67*10^-3/$Z$4)</f>
        <v>5.3819072146704333E-3</v>
      </c>
      <c r="U67" s="1">
        <f>(L67*10^-3/$Z$3)</f>
        <v>1.0739159317482412E-4</v>
      </c>
      <c r="V67" s="163">
        <f>T67+U67</f>
        <v>5.4892988078452578E-3</v>
      </c>
      <c r="W67" s="170">
        <f>V67*$Z$5*10^3</f>
        <v>176.01436627355818</v>
      </c>
    </row>
    <row r="68" spans="1:23">
      <c r="A68" s="5" t="s">
        <v>36</v>
      </c>
      <c r="B68" s="48" t="s">
        <v>48</v>
      </c>
      <c r="C68" s="44">
        <v>9</v>
      </c>
      <c r="D68" s="1">
        <v>6.44</v>
      </c>
      <c r="E68" s="1">
        <v>20.6</v>
      </c>
      <c r="F68" s="1">
        <v>19.100000000000001</v>
      </c>
      <c r="G68" s="1">
        <v>7.0609999999999999</v>
      </c>
      <c r="H68" s="1">
        <v>8.2240000000000002</v>
      </c>
      <c r="I68" s="1">
        <v>-33.299999999999997</v>
      </c>
      <c r="J68" s="1">
        <v>-367.5</v>
      </c>
      <c r="K68" s="1">
        <v>-334.4</v>
      </c>
      <c r="L68" s="1">
        <f>0.769*10</f>
        <v>7.69</v>
      </c>
      <c r="M68" s="1">
        <f>113*5</f>
        <v>565</v>
      </c>
      <c r="N68" s="1">
        <f>I68/1000</f>
        <v>-3.3299999999999996E-2</v>
      </c>
      <c r="O68" s="1">
        <f t="shared" si="5"/>
        <v>-8.3249999999999991E-2</v>
      </c>
      <c r="P68" s="1">
        <f>N68*I68</f>
        <v>1.1088899999999997</v>
      </c>
      <c r="Q68" s="1">
        <f>(P68*10^-6)/D_Calculation_electrode_area!$H$21</f>
        <v>3.0645378590186555E-4</v>
      </c>
      <c r="R68" s="1">
        <f t="shared" si="4"/>
        <v>2.7722249999999987E-6</v>
      </c>
      <c r="S68" s="43">
        <f>10^-G68</f>
        <v>8.6896042928630112E-8</v>
      </c>
      <c r="T68" s="43">
        <f>(M68*10^-3/$Z$4)</f>
        <v>5.8815813854715578E-3</v>
      </c>
      <c r="U68" s="1">
        <f>(L68*10^-3/$Z$3)</f>
        <v>2.2563971352852392E-4</v>
      </c>
      <c r="V68" s="163">
        <f>T68+U68</f>
        <v>6.1072210990000819E-3</v>
      </c>
      <c r="W68" s="170">
        <f>V68*$Z$5*10^3</f>
        <v>195.8280445394376</v>
      </c>
    </row>
    <row r="69" spans="1:23">
      <c r="A69" s="5" t="s">
        <v>37</v>
      </c>
      <c r="B69" s="48" t="s">
        <v>48</v>
      </c>
      <c r="C69" s="44">
        <v>9</v>
      </c>
      <c r="D69" s="1">
        <v>5.86</v>
      </c>
      <c r="E69" s="1">
        <v>20.8</v>
      </c>
      <c r="F69" s="1">
        <v>19.100000000000001</v>
      </c>
      <c r="G69" s="1">
        <v>7.0209999999999999</v>
      </c>
      <c r="H69" s="1">
        <v>8.0850000000000009</v>
      </c>
      <c r="I69" s="1">
        <v>-32.64</v>
      </c>
      <c r="J69" s="1">
        <v>-385.4</v>
      </c>
      <c r="K69" s="1">
        <v>-352.9</v>
      </c>
      <c r="L69" s="1">
        <f>1.14*10</f>
        <v>11.399999999999999</v>
      </c>
      <c r="M69" s="1">
        <f>115*5</f>
        <v>575</v>
      </c>
      <c r="N69" s="1">
        <f>I69/1000</f>
        <v>-3.2640000000000002E-2</v>
      </c>
      <c r="O69" s="1">
        <f t="shared" si="5"/>
        <v>-8.1600000000000006E-2</v>
      </c>
      <c r="P69" s="1">
        <f>N69*I69</f>
        <v>1.0653696000000001</v>
      </c>
      <c r="Q69" s="1">
        <f>(P69*10^-6)/D_Calculation_electrode_area!$H$21</f>
        <v>2.9442645104992942E-4</v>
      </c>
      <c r="R69" s="1">
        <f t="shared" si="4"/>
        <v>2.663424E-6</v>
      </c>
      <c r="S69" s="43">
        <f>10^-G69</f>
        <v>9.5279616402365082E-8</v>
      </c>
      <c r="T69" s="43">
        <f>(M69*10^-3/$Z$4)</f>
        <v>5.9856801710551251E-3</v>
      </c>
      <c r="U69" s="1">
        <f>(L69*10^-3/$Z$3)</f>
        <v>3.344984049707636E-4</v>
      </c>
      <c r="V69" s="163">
        <f>T69+U69</f>
        <v>6.3201785760258885E-3</v>
      </c>
      <c r="W69" s="170">
        <f>V69*$Z$5*10^3</f>
        <v>202.65652604027011</v>
      </c>
    </row>
    <row r="70" spans="1:23">
      <c r="A70" s="5" t="s">
        <v>38</v>
      </c>
      <c r="B70" s="48" t="s">
        <v>48</v>
      </c>
      <c r="C70" s="44">
        <v>9</v>
      </c>
      <c r="D70" s="1">
        <v>5.93</v>
      </c>
      <c r="E70" s="1">
        <v>20.7</v>
      </c>
      <c r="F70" s="1">
        <v>19.100000000000001</v>
      </c>
      <c r="G70" s="1">
        <v>7.0540000000000003</v>
      </c>
      <c r="H70" s="1">
        <v>8.0679999999999996</v>
      </c>
      <c r="I70" s="1">
        <v>-28.82</v>
      </c>
      <c r="J70" s="1">
        <v>166.2</v>
      </c>
      <c r="K70" s="1">
        <v>193.3</v>
      </c>
      <c r="L70" s="1">
        <f>1.23*10</f>
        <v>12.3</v>
      </c>
      <c r="M70" s="1">
        <f>100*5</f>
        <v>500</v>
      </c>
      <c r="N70" s="1">
        <f>I70/1000</f>
        <v>-2.8820000000000002E-2</v>
      </c>
      <c r="O70" s="1">
        <f t="shared" si="5"/>
        <v>-7.2050000000000003E-2</v>
      </c>
      <c r="P70" s="1">
        <f>N70*I70</f>
        <v>0.83059240000000001</v>
      </c>
      <c r="Q70" s="1">
        <f>(P70*10^-6)/D_Calculation_electrode_area!$H$21</f>
        <v>2.2954322387370863E-4</v>
      </c>
      <c r="R70" s="1">
        <f t="shared" si="4"/>
        <v>2.0764810000000001E-6</v>
      </c>
      <c r="S70" s="43">
        <f>10^-G70</f>
        <v>8.8307990041856016E-8</v>
      </c>
      <c r="T70" s="43">
        <f>(M70*10^-3/$Z$4)</f>
        <v>5.2049392791783692E-3</v>
      </c>
      <c r="U70" s="1">
        <f>(L70*10^-3/$Z$3)</f>
        <v>3.60906173784245E-4</v>
      </c>
      <c r="V70" s="163">
        <f>T70+U70</f>
        <v>5.5658454529626143E-3</v>
      </c>
      <c r="W70" s="170">
        <f>V70*$Z$5*10^3</f>
        <v>178.46883444924623</v>
      </c>
    </row>
    <row r="71" spans="1:23">
      <c r="A71" s="5" t="s">
        <v>39</v>
      </c>
      <c r="B71" s="48" t="s">
        <v>48</v>
      </c>
      <c r="C71" s="44">
        <v>9</v>
      </c>
      <c r="D71" s="1">
        <v>8.15</v>
      </c>
      <c r="E71" s="1">
        <v>21</v>
      </c>
      <c r="F71" s="1">
        <v>19.2</v>
      </c>
      <c r="G71" s="1">
        <v>7.2469999999999999</v>
      </c>
      <c r="H71" s="1">
        <v>8.16</v>
      </c>
      <c r="I71" s="1"/>
      <c r="J71" s="1"/>
      <c r="K71" s="1"/>
      <c r="L71" s="1">
        <f>1.59*10</f>
        <v>15.9</v>
      </c>
      <c r="M71" s="1">
        <f>98.2*5</f>
        <v>491</v>
      </c>
      <c r="N71" s="1"/>
      <c r="O71" s="1"/>
      <c r="P71" s="1"/>
      <c r="Q71" s="1"/>
      <c r="R71" s="172"/>
      <c r="S71" s="43">
        <f>10^-G71</f>
        <v>5.662392890382535E-8</v>
      </c>
      <c r="T71" s="43">
        <f>(M71*10^-3/$Z$4)</f>
        <v>5.1112503721531585E-3</v>
      </c>
      <c r="U71" s="1">
        <f>(L71*10^-3/$Z$3)</f>
        <v>4.665372490381704E-4</v>
      </c>
      <c r="V71" s="163">
        <f>T71+U71</f>
        <v>5.5777876211913291E-3</v>
      </c>
      <c r="W71" s="170">
        <f>V71*$Z$5*10^3</f>
        <v>178.85176007349995</v>
      </c>
    </row>
    <row r="72" spans="1:23">
      <c r="A72" s="5" t="s">
        <v>40</v>
      </c>
      <c r="B72" s="48" t="s">
        <v>48</v>
      </c>
      <c r="C72" s="44">
        <v>9</v>
      </c>
      <c r="D72" s="1">
        <v>8.2100000000000009</v>
      </c>
      <c r="E72" s="1">
        <v>20.7</v>
      </c>
      <c r="F72" s="1">
        <v>19.3</v>
      </c>
      <c r="G72" s="1">
        <v>7.2169999999999996</v>
      </c>
      <c r="H72" s="1">
        <v>8.2119999999999997</v>
      </c>
      <c r="I72" s="1"/>
      <c r="J72" s="1"/>
      <c r="K72" s="1"/>
      <c r="L72" s="1">
        <f>1.26*10</f>
        <v>12.6</v>
      </c>
      <c r="M72" s="1">
        <f>105*5</f>
        <v>525</v>
      </c>
      <c r="N72" s="1"/>
      <c r="O72" s="1"/>
      <c r="P72" s="1"/>
      <c r="Q72" s="1"/>
      <c r="R72" s="1"/>
      <c r="S72" s="43">
        <f>10^-G72</f>
        <v>6.0673632958850541E-8</v>
      </c>
      <c r="T72" s="43">
        <f>(M72*10^-3/$Z$4)</f>
        <v>5.4651862431372876E-3</v>
      </c>
      <c r="U72" s="1">
        <f>(L72*10^-3/$Z$3)</f>
        <v>3.6970876338873878E-4</v>
      </c>
      <c r="V72" s="163">
        <f>T72+U72</f>
        <v>5.8348950065260259E-3</v>
      </c>
      <c r="W72" s="170">
        <f>V72*$Z$5*10^3</f>
        <v>187.09590838425703</v>
      </c>
    </row>
    <row r="73" spans="1:23">
      <c r="A73" s="5" t="s">
        <v>41</v>
      </c>
      <c r="B73" s="48" t="s">
        <v>48</v>
      </c>
      <c r="C73" s="44">
        <v>9</v>
      </c>
      <c r="D73" s="1">
        <v>7.74</v>
      </c>
      <c r="E73" s="1">
        <v>20.9</v>
      </c>
      <c r="F73" s="1">
        <v>19.3</v>
      </c>
      <c r="G73" s="1">
        <v>7.165</v>
      </c>
      <c r="H73" s="1">
        <v>8.1620000000000008</v>
      </c>
      <c r="I73" s="1"/>
      <c r="J73" s="1"/>
      <c r="K73" s="1"/>
      <c r="L73" s="1">
        <f>0.661*10</f>
        <v>6.61</v>
      </c>
      <c r="M73" s="1">
        <f>105*5</f>
        <v>525</v>
      </c>
      <c r="N73" s="1"/>
      <c r="O73" s="1"/>
      <c r="P73" s="1"/>
      <c r="Q73" s="1"/>
      <c r="R73" s="1"/>
      <c r="S73" s="43">
        <f>10^-G73</f>
        <v>6.839116472814276E-8</v>
      </c>
      <c r="T73" s="43">
        <f>(M73*10^-3/$Z$4)</f>
        <v>5.4651862431372876E-3</v>
      </c>
      <c r="U73" s="1">
        <f>(L73*10^-3/$Z$3)</f>
        <v>1.9395039095234631E-4</v>
      </c>
      <c r="V73" s="163">
        <f>T73+U73</f>
        <v>5.6591366340896336E-3</v>
      </c>
      <c r="W73" s="170">
        <f>V73*$Z$5*10^3</f>
        <v>181.46021617208407</v>
      </c>
    </row>
    <row r="74" spans="1:23">
      <c r="A74" s="5" t="s">
        <v>42</v>
      </c>
      <c r="B74" s="48" t="s">
        <v>48</v>
      </c>
      <c r="C74" s="44">
        <v>9</v>
      </c>
      <c r="D74" s="1">
        <v>8.11</v>
      </c>
      <c r="E74" s="1">
        <v>20.2</v>
      </c>
      <c r="F74" s="1">
        <v>19.399999999999999</v>
      </c>
      <c r="G74" s="1">
        <v>7.2640000000000002</v>
      </c>
      <c r="H74" s="1">
        <v>8.1419999999999995</v>
      </c>
      <c r="I74" s="1">
        <v>-416.94</v>
      </c>
      <c r="J74" s="1">
        <v>-401.1</v>
      </c>
      <c r="K74" s="1">
        <v>20</v>
      </c>
      <c r="L74" s="1">
        <v>0</v>
      </c>
      <c r="M74" s="1">
        <f>143*5</f>
        <v>715</v>
      </c>
      <c r="N74" s="1">
        <f>I74/1000</f>
        <v>-0.41693999999999998</v>
      </c>
      <c r="O74" s="1">
        <f t="shared" si="5"/>
        <v>-1.0423499999999999</v>
      </c>
      <c r="P74" s="1">
        <f>N74*I74</f>
        <v>173.8389636</v>
      </c>
      <c r="Q74" s="1">
        <f>(P74*10^-6)/D_Calculation_electrode_area!$H$21</f>
        <v>4.8042284205355459E-2</v>
      </c>
      <c r="R74" s="1">
        <f t="shared" si="6"/>
        <v>4.3459740899999999E-4</v>
      </c>
      <c r="S74" s="43">
        <f>10^-G74</f>
        <v>5.4450265284242065E-8</v>
      </c>
      <c r="T74" s="43">
        <f>(M74*10^-3/$Z$4)</f>
        <v>7.4430631692250669E-3</v>
      </c>
      <c r="U74" s="1">
        <f>(L74*10^-3/$Z$3)</f>
        <v>0</v>
      </c>
      <c r="V74" s="163">
        <v>7.4430631692250669E-3</v>
      </c>
      <c r="W74" s="170">
        <f>V74*$Z$5*10^3</f>
        <v>238.66182052120175</v>
      </c>
    </row>
    <row r="75" spans="1:23">
      <c r="A75" s="5" t="s">
        <v>43</v>
      </c>
      <c r="B75" s="48" t="s">
        <v>48</v>
      </c>
      <c r="C75" s="44">
        <v>9</v>
      </c>
      <c r="D75" s="1">
        <v>8.01</v>
      </c>
      <c r="E75" s="1">
        <v>20</v>
      </c>
      <c r="F75" s="1">
        <v>19.7</v>
      </c>
      <c r="G75" s="1">
        <v>7.226</v>
      </c>
      <c r="H75" s="1">
        <v>8.1210000000000004</v>
      </c>
      <c r="I75" s="1">
        <v>-499.12</v>
      </c>
      <c r="J75" s="1">
        <v>-425.3</v>
      </c>
      <c r="K75" s="1">
        <v>75</v>
      </c>
      <c r="L75" s="1">
        <v>0</v>
      </c>
      <c r="M75" s="1">
        <f>142*5</f>
        <v>710</v>
      </c>
      <c r="N75" s="1">
        <f>I75/1000</f>
        <v>-0.49912000000000001</v>
      </c>
      <c r="O75" s="1">
        <f t="shared" si="5"/>
        <v>-1.2478</v>
      </c>
      <c r="P75" s="1">
        <f>N75*I75</f>
        <v>249.12077440000002</v>
      </c>
      <c r="Q75" s="1">
        <f>(P75*10^-6)/D_Calculation_electrode_area!$H$21</f>
        <v>6.884722962754157E-2</v>
      </c>
      <c r="R75" s="1">
        <f t="shared" si="6"/>
        <v>6.2280193599999992E-4</v>
      </c>
      <c r="S75" s="43">
        <f>10^-G75</f>
        <v>5.9429215861557102E-8</v>
      </c>
      <c r="T75" s="43">
        <f>(M75*10^-3/$Z$4)</f>
        <v>7.3910137764332832E-3</v>
      </c>
      <c r="U75" s="1">
        <f>(L75*10^-3/$Z$3)</f>
        <v>0</v>
      </c>
      <c r="V75" s="163">
        <v>7.3910137764332832E-3</v>
      </c>
      <c r="W75" s="170">
        <f>V75*$Z$5*10^3</f>
        <v>236.99285674133321</v>
      </c>
    </row>
    <row r="76" spans="1:23">
      <c r="A76" s="6" t="s">
        <v>44</v>
      </c>
      <c r="B76" s="49" t="s">
        <v>48</v>
      </c>
      <c r="C76" s="68">
        <v>9</v>
      </c>
      <c r="D76" s="3">
        <v>7.88</v>
      </c>
      <c r="E76" s="3">
        <v>20.2</v>
      </c>
      <c r="F76" s="3">
        <v>19.600000000000001</v>
      </c>
      <c r="G76" s="3">
        <v>7.2809999999999997</v>
      </c>
      <c r="H76" s="3">
        <v>8.1180000000000003</v>
      </c>
      <c r="I76" s="3">
        <v>-413.45</v>
      </c>
      <c r="J76" s="3">
        <v>-404.5</v>
      </c>
      <c r="K76" s="3">
        <v>9.31</v>
      </c>
      <c r="L76" s="3">
        <v>0</v>
      </c>
      <c r="M76" s="3">
        <f>142*5</f>
        <v>710</v>
      </c>
      <c r="N76" s="3">
        <f>I76/1000</f>
        <v>-0.41344999999999998</v>
      </c>
      <c r="O76" s="3">
        <f t="shared" si="5"/>
        <v>-1.0336249999999998</v>
      </c>
      <c r="P76" s="3">
        <f>N76*I76</f>
        <v>170.94090249999999</v>
      </c>
      <c r="Q76" s="3">
        <f>(P76*10^-6)/D_Calculation_electrode_area!$H$21</f>
        <v>4.7241373568709867E-2</v>
      </c>
      <c r="R76" s="3">
        <f t="shared" si="6"/>
        <v>4.2735225624999994E-4</v>
      </c>
      <c r="S76" s="77">
        <f>10^-G76</f>
        <v>5.2360043658574903E-8</v>
      </c>
      <c r="T76" s="77">
        <f>(M76*10^-3/$Z$4)</f>
        <v>7.3910137764332832E-3</v>
      </c>
      <c r="U76" s="3">
        <f>(L76*10^-3/$Z$3)</f>
        <v>0</v>
      </c>
      <c r="V76" s="164">
        <v>7.3910137764332832E-3</v>
      </c>
      <c r="W76" s="171">
        <f>V76*$Z$5*10^3</f>
        <v>236.99285674133321</v>
      </c>
    </row>
    <row r="77" spans="1:23">
      <c r="A77" s="7" t="s">
        <v>23</v>
      </c>
      <c r="B77" s="47" t="s">
        <v>49</v>
      </c>
      <c r="C77" s="70">
        <v>11</v>
      </c>
      <c r="D77" s="4">
        <v>5.99</v>
      </c>
      <c r="E77" s="4">
        <v>20.5</v>
      </c>
      <c r="F77" s="4">
        <v>19.3</v>
      </c>
      <c r="G77" s="4">
        <v>7.0430000000000001</v>
      </c>
      <c r="H77" s="4">
        <v>8.0709999999999997</v>
      </c>
      <c r="I77" s="4">
        <v>-28.35</v>
      </c>
      <c r="J77" s="4">
        <v>-359.2</v>
      </c>
      <c r="K77" s="4">
        <v>-332.7</v>
      </c>
      <c r="L77" s="4"/>
      <c r="M77" s="4"/>
      <c r="N77" s="4">
        <f>I77/1000</f>
        <v>-2.835E-2</v>
      </c>
      <c r="O77" s="4">
        <f t="shared" si="5"/>
        <v>-7.0874999999999994E-2</v>
      </c>
      <c r="P77" s="4">
        <f>N77*I77</f>
        <v>0.80372250000000001</v>
      </c>
      <c r="Q77" s="4">
        <f>(P77*10^-6)/D_Calculation_electrode_area!$H$22</f>
        <v>4.4651241023965666E-11</v>
      </c>
      <c r="R77" s="172">
        <f t="shared" si="6"/>
        <v>2.00930625E-6</v>
      </c>
      <c r="S77" s="167">
        <f>10^-G77</f>
        <v>9.0573260089819787E-8</v>
      </c>
      <c r="T77" s="167"/>
      <c r="U77" s="4"/>
      <c r="V77" s="165"/>
      <c r="W77" s="173">
        <f>V77*$Z$5*10^3</f>
        <v>0</v>
      </c>
    </row>
    <row r="78" spans="1:23">
      <c r="A78" s="5" t="s">
        <v>27</v>
      </c>
      <c r="B78" s="48" t="s">
        <v>49</v>
      </c>
      <c r="C78" s="44">
        <v>11</v>
      </c>
      <c r="D78" s="1">
        <v>6.32</v>
      </c>
      <c r="E78" s="1">
        <v>21</v>
      </c>
      <c r="F78" s="1">
        <v>19.3</v>
      </c>
      <c r="G78" s="1">
        <v>7.0380000000000003</v>
      </c>
      <c r="H78" s="1">
        <v>8.1999999999999993</v>
      </c>
      <c r="I78" s="1">
        <v>-29.05</v>
      </c>
      <c r="J78" s="1">
        <v>-371.9</v>
      </c>
      <c r="K78" s="1">
        <v>-343.1</v>
      </c>
      <c r="L78" s="1"/>
      <c r="M78" s="1"/>
      <c r="N78" s="1">
        <f>I78/1000</f>
        <v>-2.9049999999999999E-2</v>
      </c>
      <c r="O78" s="1">
        <f t="shared" si="5"/>
        <v>-7.2624999999999995E-2</v>
      </c>
      <c r="P78" s="1">
        <f>N78*I78</f>
        <v>0.8439025</v>
      </c>
      <c r="Q78" s="1">
        <f>(P78*10^-6)/D_Calculation_electrode_area!$H$22</f>
        <v>4.6883462797454577E-11</v>
      </c>
      <c r="R78" s="1">
        <f t="shared" si="6"/>
        <v>2.1097562499999996E-6</v>
      </c>
      <c r="S78" s="43">
        <f>10^-G78</f>
        <v>9.1622049012199753E-8</v>
      </c>
      <c r="T78" s="43"/>
      <c r="U78" s="1"/>
      <c r="V78" s="163"/>
      <c r="W78" s="170">
        <f>V78*$Z$5*10^3</f>
        <v>0</v>
      </c>
    </row>
    <row r="79" spans="1:23">
      <c r="A79" s="5" t="s">
        <v>30</v>
      </c>
      <c r="B79" s="47" t="s">
        <v>49</v>
      </c>
      <c r="C79" s="44">
        <v>11</v>
      </c>
      <c r="D79" s="1">
        <v>6.91</v>
      </c>
      <c r="E79" s="1">
        <v>21.2</v>
      </c>
      <c r="F79" s="1">
        <v>19.3</v>
      </c>
      <c r="G79" s="1">
        <v>7.0579999999999998</v>
      </c>
      <c r="H79" s="1">
        <v>8.5079999999999991</v>
      </c>
      <c r="I79" s="1">
        <v>-108.2</v>
      </c>
      <c r="J79" s="1">
        <v>-151</v>
      </c>
      <c r="K79" s="1">
        <v>-43.07</v>
      </c>
      <c r="L79" s="1"/>
      <c r="M79" s="1"/>
      <c r="N79" s="1">
        <f>I79/1000</f>
        <v>-0.1082</v>
      </c>
      <c r="O79" s="1">
        <f t="shared" si="5"/>
        <v>-0.27050000000000002</v>
      </c>
      <c r="P79" s="1">
        <f>N79*I79</f>
        <v>11.707240000000001</v>
      </c>
      <c r="Q79" s="1">
        <f>(P79*10^-6)/D_Calculation_electrode_area!$H$22</f>
        <v>6.5040209147487074E-10</v>
      </c>
      <c r="R79" s="1">
        <f t="shared" si="4"/>
        <v>2.9268099999999999E-5</v>
      </c>
      <c r="S79" s="43">
        <f>10^-G79</f>
        <v>8.7498377522743417E-8</v>
      </c>
      <c r="T79" s="43"/>
      <c r="U79" s="1"/>
      <c r="V79" s="163"/>
      <c r="W79" s="170">
        <f>V79*$Z$5*10^3</f>
        <v>0</v>
      </c>
    </row>
    <row r="80" spans="1:23">
      <c r="A80" s="5" t="s">
        <v>32</v>
      </c>
      <c r="B80" s="48" t="s">
        <v>49</v>
      </c>
      <c r="C80" s="44">
        <v>11</v>
      </c>
      <c r="D80" s="1">
        <v>7.19</v>
      </c>
      <c r="E80" s="1">
        <v>20.9</v>
      </c>
      <c r="F80" s="1">
        <v>19.5</v>
      </c>
      <c r="G80" s="1">
        <v>7.2329999999999997</v>
      </c>
      <c r="H80" s="1">
        <v>7.875</v>
      </c>
      <c r="I80" s="1">
        <v>-551</v>
      </c>
      <c r="J80" s="1">
        <v>-377.5</v>
      </c>
      <c r="K80" s="1">
        <v>156.5</v>
      </c>
      <c r="L80" s="1"/>
      <c r="M80" s="1"/>
      <c r="N80" s="1">
        <f>I80/1000</f>
        <v>-0.55100000000000005</v>
      </c>
      <c r="O80" s="1">
        <f t="shared" si="5"/>
        <v>-1.3774999999999999</v>
      </c>
      <c r="P80" s="1">
        <f>N80*I80</f>
        <v>303.601</v>
      </c>
      <c r="Q80" s="1">
        <f>(P80*10^-6)/D_Calculation_electrode_area!$H$22</f>
        <v>1.6866718831583041E-8</v>
      </c>
      <c r="R80" s="1">
        <f t="shared" si="4"/>
        <v>7.5900249999999989E-4</v>
      </c>
      <c r="S80" s="43">
        <f>10^-G80</f>
        <v>5.8479008414448039E-8</v>
      </c>
      <c r="T80" s="43"/>
      <c r="U80" s="1"/>
      <c r="V80" s="163"/>
      <c r="W80" s="170">
        <f>V80*$Z$5*10^3</f>
        <v>0</v>
      </c>
    </row>
    <row r="81" spans="1:23">
      <c r="A81" s="5" t="s">
        <v>34</v>
      </c>
      <c r="B81" s="47" t="s">
        <v>49</v>
      </c>
      <c r="C81" s="44">
        <v>11</v>
      </c>
      <c r="D81" s="1">
        <v>7.79</v>
      </c>
      <c r="E81" s="1">
        <v>21</v>
      </c>
      <c r="F81" s="1">
        <v>19.600000000000001</v>
      </c>
      <c r="G81" s="1">
        <v>7.3029999999999999</v>
      </c>
      <c r="H81" s="1">
        <v>8.0980000000000008</v>
      </c>
      <c r="I81" s="1">
        <v>-665</v>
      </c>
      <c r="J81" s="1">
        <v>-418.1</v>
      </c>
      <c r="K81" s="1">
        <v>334.7</v>
      </c>
      <c r="L81" s="1"/>
      <c r="M81" s="1"/>
      <c r="N81" s="1">
        <f>I81/1000</f>
        <v>-0.66500000000000004</v>
      </c>
      <c r="O81" s="1">
        <f t="shared" si="5"/>
        <v>-1.6625000000000001</v>
      </c>
      <c r="P81" s="1">
        <f>N81*I81</f>
        <v>442.22500000000002</v>
      </c>
      <c r="Q81" s="1">
        <f>(P81*10^-6)/D_Calculation_electrode_area!$H$22</f>
        <v>2.4568050616752943E-8</v>
      </c>
      <c r="R81" s="1">
        <f t="shared" si="4"/>
        <v>1.1055625E-3</v>
      </c>
      <c r="S81" s="43">
        <f>10^-G81</f>
        <v>4.9773708497893602E-8</v>
      </c>
      <c r="T81" s="43"/>
      <c r="U81" s="1"/>
      <c r="V81" s="163"/>
      <c r="W81" s="170">
        <f>V81*$Z$5*10^3</f>
        <v>0</v>
      </c>
    </row>
    <row r="82" spans="1:23">
      <c r="A82" s="5" t="s">
        <v>35</v>
      </c>
      <c r="B82" s="48" t="s">
        <v>49</v>
      </c>
      <c r="C82" s="44">
        <v>11</v>
      </c>
      <c r="D82" s="1">
        <v>8.1</v>
      </c>
      <c r="E82" s="1">
        <v>20.9</v>
      </c>
      <c r="F82" s="1">
        <v>19.5</v>
      </c>
      <c r="G82" s="1">
        <v>7.1950000000000003</v>
      </c>
      <c r="H82" s="1">
        <v>8.1289999999999996</v>
      </c>
      <c r="I82" s="1">
        <v>-577</v>
      </c>
      <c r="J82" s="1">
        <v>-411.3</v>
      </c>
      <c r="K82" s="1">
        <v>145.69999999999999</v>
      </c>
      <c r="L82" s="1"/>
      <c r="M82" s="1"/>
      <c r="N82" s="1">
        <f>I82/1000</f>
        <v>-0.57699999999999996</v>
      </c>
      <c r="O82" s="1">
        <f t="shared" si="5"/>
        <v>-1.4424999999999999</v>
      </c>
      <c r="P82" s="1">
        <f>N82*I82</f>
        <v>332.92899999999997</v>
      </c>
      <c r="Q82" s="1">
        <f>(P82*10^-6)/D_Calculation_electrode_area!$H$22</f>
        <v>1.8496051837379027E-8</v>
      </c>
      <c r="R82" s="1">
        <f t="shared" si="4"/>
        <v>8.3232249999999988E-4</v>
      </c>
      <c r="S82" s="43">
        <f>10^-G82</f>
        <v>6.3826348619054715E-8</v>
      </c>
      <c r="T82" s="43"/>
      <c r="U82" s="1"/>
      <c r="V82" s="163"/>
      <c r="W82" s="170">
        <f>V82*$Z$5*10^3</f>
        <v>0</v>
      </c>
    </row>
    <row r="83" spans="1:23">
      <c r="A83" s="5" t="s">
        <v>36</v>
      </c>
      <c r="B83" s="47" t="s">
        <v>49</v>
      </c>
      <c r="C83" s="44">
        <v>11</v>
      </c>
      <c r="D83" s="1">
        <v>5.91</v>
      </c>
      <c r="E83" s="1">
        <v>20.8</v>
      </c>
      <c r="F83" s="1">
        <v>19.600000000000001</v>
      </c>
      <c r="G83" s="1">
        <v>7.0359999999999996</v>
      </c>
      <c r="H83" s="1">
        <v>7.9770000000000003</v>
      </c>
      <c r="I83" s="1">
        <v>-33.549999999999997</v>
      </c>
      <c r="J83" s="1">
        <v>-370.9</v>
      </c>
      <c r="K83" s="1">
        <v>-338.4</v>
      </c>
      <c r="L83" s="1"/>
      <c r="M83" s="1"/>
      <c r="N83" s="1">
        <f>I83/1000</f>
        <v>-3.3549999999999996E-2</v>
      </c>
      <c r="O83" s="1">
        <f t="shared" si="5"/>
        <v>-8.3874999999999991E-2</v>
      </c>
      <c r="P83" s="1">
        <f>N83*I83</f>
        <v>1.1256024999999998</v>
      </c>
      <c r="Q83" s="1">
        <f>(P83*10^-6)/D_Calculation_electrode_area!$H$21</f>
        <v>3.1107246665188133E-4</v>
      </c>
      <c r="R83" s="1">
        <f t="shared" si="4"/>
        <v>2.8140062499999992E-6</v>
      </c>
      <c r="S83" s="43">
        <f>10^-G83</f>
        <v>9.2044957175317031E-8</v>
      </c>
      <c r="T83" s="43"/>
      <c r="U83" s="1"/>
      <c r="V83" s="163"/>
      <c r="W83" s="170">
        <f>V83*$Z$5*10^3</f>
        <v>0</v>
      </c>
    </row>
    <row r="84" spans="1:23">
      <c r="A84" s="5" t="s">
        <v>37</v>
      </c>
      <c r="B84" s="48" t="s">
        <v>49</v>
      </c>
      <c r="C84" s="44">
        <v>11</v>
      </c>
      <c r="D84" s="1">
        <v>5.95</v>
      </c>
      <c r="E84" s="1">
        <v>21</v>
      </c>
      <c r="F84" s="1">
        <v>19.600000000000001</v>
      </c>
      <c r="G84" s="1">
        <v>7.125</v>
      </c>
      <c r="H84" s="1">
        <v>7.7370000000000001</v>
      </c>
      <c r="I84" s="1">
        <v>-30.43</v>
      </c>
      <c r="J84" s="1">
        <v>-372.8</v>
      </c>
      <c r="K84" s="1">
        <v>-341.9</v>
      </c>
      <c r="L84" s="1"/>
      <c r="M84" s="1"/>
      <c r="N84" s="1">
        <f>I84/1000</f>
        <v>-3.0429999999999999E-2</v>
      </c>
      <c r="O84" s="1">
        <f t="shared" si="5"/>
        <v>-7.607499999999999E-2</v>
      </c>
      <c r="P84" s="1">
        <f>N84*I84</f>
        <v>0.9259849</v>
      </c>
      <c r="Q84" s="1">
        <f>(P84*10^-6)/D_Calculation_electrode_area!$H$21</f>
        <v>2.5590597651070933E-4</v>
      </c>
      <c r="R84" s="1">
        <f t="shared" si="4"/>
        <v>2.3149622499999999E-6</v>
      </c>
      <c r="S84" s="43">
        <f>10^-G84</f>
        <v>7.4989420933245362E-8</v>
      </c>
      <c r="T84" s="43"/>
      <c r="U84" s="1"/>
      <c r="V84" s="163"/>
      <c r="W84" s="170">
        <f>V84*$Z$5*10^3</f>
        <v>0</v>
      </c>
    </row>
    <row r="85" spans="1:23">
      <c r="A85" s="5" t="s">
        <v>38</v>
      </c>
      <c r="B85" s="47" t="s">
        <v>49</v>
      </c>
      <c r="C85" s="44">
        <v>11</v>
      </c>
      <c r="D85" s="1">
        <v>5.01</v>
      </c>
      <c r="E85" s="1">
        <v>20.5</v>
      </c>
      <c r="F85" s="1">
        <v>19.3</v>
      </c>
      <c r="G85" s="1">
        <v>7.024</v>
      </c>
      <c r="H85" s="1">
        <v>7.7249999999999996</v>
      </c>
      <c r="I85" s="1">
        <v>-33.36</v>
      </c>
      <c r="J85" s="1">
        <v>-201.4</v>
      </c>
      <c r="K85" s="1">
        <v>334.7</v>
      </c>
      <c r="L85" s="1"/>
      <c r="M85" s="1"/>
      <c r="N85" s="1">
        <f>I85/1000</f>
        <v>-3.3360000000000001E-2</v>
      </c>
      <c r="O85" s="1">
        <f t="shared" si="5"/>
        <v>-8.3400000000000002E-2</v>
      </c>
      <c r="P85" s="1">
        <f>N85*I85</f>
        <v>1.1128895999999999</v>
      </c>
      <c r="Q85" s="1">
        <f>(P85*10^-6)/D_Calculation_electrode_area!$H$21</f>
        <v>3.0755911876814912E-4</v>
      </c>
      <c r="R85" s="1">
        <f t="shared" si="4"/>
        <v>2.7822239999999996E-6</v>
      </c>
      <c r="S85" s="43">
        <f>10^-G85</f>
        <v>9.4623716136578983E-8</v>
      </c>
      <c r="T85" s="43"/>
      <c r="U85" s="1"/>
      <c r="V85" s="163"/>
      <c r="W85" s="170">
        <f>V85*$Z$5*10^3</f>
        <v>0</v>
      </c>
    </row>
    <row r="86" spans="1:23">
      <c r="A86" s="5" t="s">
        <v>39</v>
      </c>
      <c r="B86" s="48" t="s">
        <v>49</v>
      </c>
      <c r="C86" s="44">
        <v>11</v>
      </c>
      <c r="D86" s="1">
        <v>8.42</v>
      </c>
      <c r="E86" s="1">
        <v>20.8</v>
      </c>
      <c r="F86" s="1">
        <v>19.7</v>
      </c>
      <c r="G86" s="1">
        <v>7.19</v>
      </c>
      <c r="H86" s="1">
        <v>8.2330000000000005</v>
      </c>
      <c r="I86" s="1"/>
      <c r="J86" s="1"/>
      <c r="K86" s="1"/>
      <c r="L86" s="1"/>
      <c r="M86" s="1"/>
      <c r="N86" s="1"/>
      <c r="O86" s="1"/>
      <c r="P86" s="1"/>
      <c r="Q86" s="1"/>
      <c r="R86" s="172"/>
      <c r="S86" s="43">
        <f>10^-G86</f>
        <v>6.4565422903465397E-8</v>
      </c>
      <c r="T86" s="43"/>
      <c r="U86" s="1"/>
      <c r="V86" s="163"/>
      <c r="W86" s="170">
        <f>V86*$Z$5*10^3</f>
        <v>0</v>
      </c>
    </row>
    <row r="87" spans="1:23">
      <c r="A87" s="5" t="s">
        <v>40</v>
      </c>
      <c r="B87" s="47" t="s">
        <v>49</v>
      </c>
      <c r="C87" s="44">
        <v>11</v>
      </c>
      <c r="D87" s="1">
        <v>8.19</v>
      </c>
      <c r="E87" s="1">
        <v>20.9</v>
      </c>
      <c r="F87" s="1">
        <v>19.5</v>
      </c>
      <c r="G87" s="1">
        <v>7.23</v>
      </c>
      <c r="H87" s="1">
        <v>8.2379999999999995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43">
        <f>10^-G87</f>
        <v>5.8884365535558776E-8</v>
      </c>
      <c r="T87" s="43"/>
      <c r="U87" s="1"/>
      <c r="V87" s="163"/>
      <c r="W87" s="170">
        <f>V87*$Z$5*10^3</f>
        <v>0</v>
      </c>
    </row>
    <row r="88" spans="1:23">
      <c r="A88" s="5" t="s">
        <v>41</v>
      </c>
      <c r="B88" s="48" t="s">
        <v>49</v>
      </c>
      <c r="C88" s="44">
        <v>11</v>
      </c>
      <c r="D88" s="1">
        <v>7.46</v>
      </c>
      <c r="E88" s="1">
        <v>21.1</v>
      </c>
      <c r="F88" s="1">
        <v>19.600000000000001</v>
      </c>
      <c r="G88" s="1">
        <v>7.05</v>
      </c>
      <c r="H88" s="1">
        <v>8.1310000000000002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43">
        <f>10^-G88</f>
        <v>8.9125093813374537E-8</v>
      </c>
      <c r="T88" s="43"/>
      <c r="U88" s="1"/>
      <c r="V88" s="163"/>
      <c r="W88" s="170">
        <f>V88*$Z$5*10^3</f>
        <v>0</v>
      </c>
    </row>
    <row r="89" spans="1:23">
      <c r="A89" s="5" t="s">
        <v>42</v>
      </c>
      <c r="B89" s="47" t="s">
        <v>49</v>
      </c>
      <c r="C89" s="44">
        <v>11</v>
      </c>
      <c r="D89" s="1">
        <v>7.83</v>
      </c>
      <c r="E89" s="1">
        <v>20.3</v>
      </c>
      <c r="F89" s="1">
        <v>19.899999999999999</v>
      </c>
      <c r="G89" s="1">
        <v>7.0759999999999996</v>
      </c>
      <c r="H89" s="1">
        <v>8.1679999999999993</v>
      </c>
      <c r="I89" s="1">
        <v>-477.51</v>
      </c>
      <c r="J89" s="1">
        <v>-383.5</v>
      </c>
      <c r="K89" s="1">
        <v>72.5</v>
      </c>
      <c r="L89" s="1"/>
      <c r="M89" s="1"/>
      <c r="N89" s="1">
        <f>I89/1000</f>
        <v>-0.47750999999999999</v>
      </c>
      <c r="O89" s="1">
        <f t="shared" si="5"/>
        <v>-1.1937749999999998</v>
      </c>
      <c r="P89" s="1">
        <f>N89*I89</f>
        <v>228.01580009999998</v>
      </c>
      <c r="Q89" s="1">
        <f>(P89*10^-6)/D_Calculation_electrode_area!$H$21</f>
        <v>6.3014640934707669E-2</v>
      </c>
      <c r="R89" s="1">
        <f t="shared" si="6"/>
        <v>5.7003950024999989E-4</v>
      </c>
      <c r="S89" s="43">
        <f>10^-G89</f>
        <v>8.3945998651939695E-8</v>
      </c>
      <c r="T89" s="43"/>
      <c r="U89" s="1"/>
      <c r="V89" s="163"/>
      <c r="W89" s="170">
        <f>V89*$Z$5*10^3</f>
        <v>0</v>
      </c>
    </row>
    <row r="90" spans="1:23">
      <c r="A90" s="5" t="s">
        <v>43</v>
      </c>
      <c r="B90" s="48" t="s">
        <v>49</v>
      </c>
      <c r="C90" s="44">
        <v>11</v>
      </c>
      <c r="D90" s="1">
        <v>8.0500000000000007</v>
      </c>
      <c r="E90" s="1">
        <v>20.2</v>
      </c>
      <c r="F90" s="1">
        <v>20</v>
      </c>
      <c r="G90" s="1">
        <v>7.0380000000000003</v>
      </c>
      <c r="H90" s="1">
        <v>8.1609999999999996</v>
      </c>
      <c r="I90" s="1">
        <v>-482.18</v>
      </c>
      <c r="J90" s="1">
        <v>-385.9</v>
      </c>
      <c r="K90" s="1">
        <v>98.2</v>
      </c>
      <c r="L90" s="1"/>
      <c r="M90" s="1"/>
      <c r="N90" s="1">
        <f>I90/1000</f>
        <v>-0.48218</v>
      </c>
      <c r="O90" s="1">
        <f t="shared" si="5"/>
        <v>-1.2054499999999999</v>
      </c>
      <c r="P90" s="1">
        <f>N90*I90</f>
        <v>232.49755239999999</v>
      </c>
      <c r="Q90" s="1">
        <f>(P90*10^-6)/D_Calculation_electrode_area!$H$21</f>
        <v>6.4253221821729281E-2</v>
      </c>
      <c r="R90" s="1">
        <f t="shared" si="6"/>
        <v>5.812438809999999E-4</v>
      </c>
      <c r="S90" s="43">
        <f>10^-G90</f>
        <v>9.1622049012199753E-8</v>
      </c>
      <c r="T90" s="43"/>
      <c r="U90" s="1"/>
      <c r="V90" s="163"/>
      <c r="W90" s="170">
        <f>V90*$Z$5*10^3</f>
        <v>0</v>
      </c>
    </row>
    <row r="91" spans="1:23">
      <c r="A91" s="34" t="s">
        <v>44</v>
      </c>
      <c r="B91" s="52" t="s">
        <v>49</v>
      </c>
      <c r="C91" s="66">
        <v>11</v>
      </c>
      <c r="D91" s="2">
        <v>7.98</v>
      </c>
      <c r="E91" s="2">
        <v>20.2</v>
      </c>
      <c r="F91" s="2">
        <v>20.100000000000001</v>
      </c>
      <c r="G91" s="2">
        <v>7.1509999999999998</v>
      </c>
      <c r="H91" s="2">
        <v>8.1980000000000004</v>
      </c>
      <c r="I91" s="2">
        <v>-408.78</v>
      </c>
      <c r="J91" s="2">
        <v>-393.5</v>
      </c>
      <c r="K91" s="2">
        <v>13.01</v>
      </c>
      <c r="L91" s="2"/>
      <c r="M91" s="2"/>
      <c r="N91" s="2">
        <f>I91/1000</f>
        <v>-0.40877999999999998</v>
      </c>
      <c r="O91" s="2">
        <f t="shared" si="5"/>
        <v>-1.0219499999999999</v>
      </c>
      <c r="P91" s="2">
        <f>N91*I91</f>
        <v>167.10108839999998</v>
      </c>
      <c r="Q91" s="2">
        <f>(P91*10^-6)/D_Calculation_electrode_area!$H$21</f>
        <v>4.6180199269992804E-2</v>
      </c>
      <c r="R91" s="2">
        <f t="shared" si="6"/>
        <v>4.1775272099999991E-4</v>
      </c>
      <c r="S91" s="78">
        <f>10^-G91</f>
        <v>7.0631755426296202E-8</v>
      </c>
      <c r="T91" s="78"/>
      <c r="U91" s="2"/>
      <c r="V91" s="166"/>
      <c r="W91" s="174">
        <f>V91*$Z$5*10^3</f>
        <v>0</v>
      </c>
    </row>
    <row r="92" spans="1:23">
      <c r="A92" s="35" t="s">
        <v>23</v>
      </c>
      <c r="B92" s="51" t="s">
        <v>50</v>
      </c>
      <c r="C92" s="67">
        <v>14</v>
      </c>
      <c r="D92" s="12">
        <v>5.41</v>
      </c>
      <c r="E92" s="12">
        <v>20.8</v>
      </c>
      <c r="F92" s="12">
        <v>19.3</v>
      </c>
      <c r="G92" s="12">
        <v>7.13</v>
      </c>
      <c r="H92" s="12">
        <v>7.9669999999999996</v>
      </c>
      <c r="I92" s="12">
        <v>-70.400000000000006</v>
      </c>
      <c r="J92" s="12">
        <v>-316.2</v>
      </c>
      <c r="K92" s="12">
        <v>-246.5</v>
      </c>
      <c r="L92" s="12"/>
      <c r="M92" s="12"/>
      <c r="N92" s="12">
        <f>I92/1000</f>
        <v>-7.0400000000000004E-2</v>
      </c>
      <c r="O92" s="12">
        <f t="shared" si="5"/>
        <v>-0.17599999999999999</v>
      </c>
      <c r="P92" s="12">
        <f>N92*I92</f>
        <v>4.9561600000000006</v>
      </c>
      <c r="Q92" s="12">
        <f>(P92*10^-6)/D_Calculation_electrode_area!$H$22</f>
        <v>2.7534216687144845E-10</v>
      </c>
      <c r="R92" s="168">
        <f t="shared" si="6"/>
        <v>1.2390400000000001E-5</v>
      </c>
      <c r="S92" s="63">
        <f>10^-G92</f>
        <v>7.413102413009154E-8</v>
      </c>
      <c r="T92" s="63"/>
      <c r="U92" s="12"/>
      <c r="V92" s="162"/>
      <c r="W92" s="169">
        <f>V92*$Z$5*10^3</f>
        <v>0</v>
      </c>
    </row>
    <row r="93" spans="1:23">
      <c r="A93" s="5" t="s">
        <v>27</v>
      </c>
      <c r="B93" s="47" t="s">
        <v>50</v>
      </c>
      <c r="C93" s="44">
        <v>14</v>
      </c>
      <c r="D93" s="1">
        <v>5.04</v>
      </c>
      <c r="E93" s="1">
        <v>21.3</v>
      </c>
      <c r="F93" s="1">
        <v>19.2</v>
      </c>
      <c r="G93" s="1">
        <v>7.1289999999999996</v>
      </c>
      <c r="H93" s="1">
        <v>7.7240000000000002</v>
      </c>
      <c r="I93" s="1">
        <v>-32.299999999999997</v>
      </c>
      <c r="J93" s="1">
        <v>-370.9</v>
      </c>
      <c r="K93" s="1">
        <v>-339.4</v>
      </c>
      <c r="L93" s="1"/>
      <c r="M93" s="1"/>
      <c r="N93" s="1">
        <f>I93/1000</f>
        <v>-3.2299999999999995E-2</v>
      </c>
      <c r="O93" s="1">
        <f t="shared" si="5"/>
        <v>-8.0749999999999988E-2</v>
      </c>
      <c r="P93" s="1">
        <f>N93*I93</f>
        <v>1.0432899999999998</v>
      </c>
      <c r="Q93" s="1">
        <f>(P93*10^-6)/D_Calculation_electrode_area!$H$22</f>
        <v>5.7960543904013054E-11</v>
      </c>
      <c r="R93" s="1">
        <f t="shared" si="6"/>
        <v>2.6082249999999991E-6</v>
      </c>
      <c r="S93" s="43">
        <f>10^-G93</f>
        <v>7.4301913789669972E-8</v>
      </c>
      <c r="T93" s="43"/>
      <c r="U93" s="1"/>
      <c r="V93" s="163"/>
      <c r="W93" s="170">
        <f>V93*$Z$5*10^3</f>
        <v>0</v>
      </c>
    </row>
    <row r="94" spans="1:23">
      <c r="A94" s="5" t="s">
        <v>30</v>
      </c>
      <c r="B94" s="47" t="s">
        <v>50</v>
      </c>
      <c r="C94" s="44">
        <v>14</v>
      </c>
      <c r="D94" s="1">
        <v>4.5199999999999996</v>
      </c>
      <c r="E94" s="1">
        <v>21.5</v>
      </c>
      <c r="F94" s="1">
        <v>19.2</v>
      </c>
      <c r="G94" s="1">
        <v>7.05</v>
      </c>
      <c r="H94" s="1">
        <v>8.2420000000000009</v>
      </c>
      <c r="I94" s="1">
        <v>-157.69999999999999</v>
      </c>
      <c r="J94" s="1">
        <v>-258.7</v>
      </c>
      <c r="K94" s="1">
        <v>-103</v>
      </c>
      <c r="L94" s="1"/>
      <c r="M94" s="1"/>
      <c r="N94" s="1">
        <f>I94/1000</f>
        <v>-0.15769999999999998</v>
      </c>
      <c r="O94" s="1">
        <f t="shared" si="5"/>
        <v>-0.39424999999999993</v>
      </c>
      <c r="P94" s="1">
        <f>N94*I94</f>
        <v>24.869289999999996</v>
      </c>
      <c r="Q94" s="1">
        <f>(P94*10^-6)/D_Calculation_electrode_area!$H$22</f>
        <v>1.3816269444800897E-9</v>
      </c>
      <c r="R94" s="1">
        <f t="shared" si="6"/>
        <v>6.2173224999999984E-5</v>
      </c>
      <c r="S94" s="43">
        <f>10^-G94</f>
        <v>8.9125093813374537E-8</v>
      </c>
      <c r="T94" s="43"/>
      <c r="U94" s="1"/>
      <c r="V94" s="163"/>
      <c r="W94" s="170">
        <f>V94*$Z$5*10^3</f>
        <v>0</v>
      </c>
    </row>
    <row r="95" spans="1:23">
      <c r="A95" s="5" t="s">
        <v>32</v>
      </c>
      <c r="B95" s="47" t="s">
        <v>50</v>
      </c>
      <c r="C95" s="44">
        <v>14</v>
      </c>
      <c r="D95" s="1">
        <v>5.23</v>
      </c>
      <c r="E95" s="1">
        <v>21.2</v>
      </c>
      <c r="F95" s="1">
        <v>19.399999999999999</v>
      </c>
      <c r="G95" s="1">
        <v>7.3520000000000003</v>
      </c>
      <c r="H95" s="1">
        <v>7.3289999999999997</v>
      </c>
      <c r="I95" s="1">
        <v>-773</v>
      </c>
      <c r="J95" s="1">
        <v>-407.1</v>
      </c>
      <c r="K95" s="1">
        <v>272.2</v>
      </c>
      <c r="L95" s="1"/>
      <c r="M95" s="1"/>
      <c r="N95" s="1">
        <f>I95/1000</f>
        <v>-0.77300000000000002</v>
      </c>
      <c r="O95" s="1">
        <f t="shared" si="5"/>
        <v>-1.9324999999999999</v>
      </c>
      <c r="P95" s="1">
        <f>N95*I95</f>
        <v>597.529</v>
      </c>
      <c r="Q95" s="1">
        <f>(P95*10^-6)/D_Calculation_electrode_area!$H$22</f>
        <v>3.3196048882305997E-8</v>
      </c>
      <c r="R95" s="1">
        <f t="shared" si="6"/>
        <v>1.4938224999999999E-3</v>
      </c>
      <c r="S95" s="43">
        <f>10^-G95</f>
        <v>4.4463126746910767E-8</v>
      </c>
      <c r="T95" s="43"/>
      <c r="U95" s="1"/>
      <c r="V95" s="163"/>
      <c r="W95" s="170">
        <f>V95*$Z$5*10^3</f>
        <v>0</v>
      </c>
    </row>
    <row r="96" spans="1:23">
      <c r="A96" s="5" t="s">
        <v>34</v>
      </c>
      <c r="B96" s="47" t="s">
        <v>50</v>
      </c>
      <c r="C96" s="44">
        <v>14</v>
      </c>
      <c r="D96" s="1">
        <v>6.23</v>
      </c>
      <c r="E96" s="1">
        <v>21.3</v>
      </c>
      <c r="F96" s="1">
        <v>19.3</v>
      </c>
      <c r="G96" s="1">
        <v>7.4320000000000004</v>
      </c>
      <c r="H96" s="1">
        <v>7.758</v>
      </c>
      <c r="I96" s="1">
        <v>-622</v>
      </c>
      <c r="J96" s="1">
        <v>-406.2</v>
      </c>
      <c r="K96" s="1">
        <v>179.5</v>
      </c>
      <c r="L96" s="1"/>
      <c r="M96" s="1"/>
      <c r="N96" s="1">
        <f>I96/1000</f>
        <v>-0.622</v>
      </c>
      <c r="O96" s="1">
        <f t="shared" si="5"/>
        <v>-1.5549999999999999</v>
      </c>
      <c r="P96" s="1">
        <f>N96*I96</f>
        <v>386.88400000000001</v>
      </c>
      <c r="Q96" s="1">
        <f>(P96*10^-6)/D_Calculation_electrode_area!$H$22</f>
        <v>2.1493551234805464E-8</v>
      </c>
      <c r="R96" s="1">
        <f t="shared" si="6"/>
        <v>9.6720999999999992E-4</v>
      </c>
      <c r="S96" s="43">
        <f>10^-G96</f>
        <v>3.6982817978026565E-8</v>
      </c>
      <c r="T96" s="43"/>
      <c r="U96" s="1"/>
      <c r="V96" s="163"/>
      <c r="W96" s="170">
        <f>V96*$Z$5*10^3</f>
        <v>0</v>
      </c>
    </row>
    <row r="97" spans="1:23">
      <c r="A97" s="5" t="s">
        <v>35</v>
      </c>
      <c r="B97" s="47" t="s">
        <v>50</v>
      </c>
      <c r="C97" s="44">
        <v>14</v>
      </c>
      <c r="D97" s="1">
        <v>6.81</v>
      </c>
      <c r="E97" s="1">
        <v>21.4</v>
      </c>
      <c r="F97" s="1">
        <v>19.399999999999999</v>
      </c>
      <c r="G97" s="1">
        <v>7.3259999999999996</v>
      </c>
      <c r="H97" s="1">
        <v>7.9960000000000004</v>
      </c>
      <c r="I97" s="1">
        <v>-611</v>
      </c>
      <c r="J97" s="1">
        <v>-391.4</v>
      </c>
      <c r="K97" s="1">
        <v>203.8</v>
      </c>
      <c r="L97" s="1"/>
      <c r="M97" s="1"/>
      <c r="N97" s="1">
        <f>I97/1000</f>
        <v>-0.61099999999999999</v>
      </c>
      <c r="O97" s="1">
        <f t="shared" si="5"/>
        <v>-1.5274999999999999</v>
      </c>
      <c r="P97" s="1">
        <f>N97*I97</f>
        <v>373.32099999999997</v>
      </c>
      <c r="Q97" s="1">
        <f>(P97*10^-6)/D_Calculation_electrode_area!$H$22</f>
        <v>2.0740051386278082E-8</v>
      </c>
      <c r="R97" s="1">
        <f t="shared" si="6"/>
        <v>9.3330249999999985E-4</v>
      </c>
      <c r="S97" s="43">
        <f>10^-G97</f>
        <v>4.7206304126358969E-8</v>
      </c>
      <c r="T97" s="43"/>
      <c r="U97" s="1"/>
      <c r="V97" s="163"/>
      <c r="W97" s="170">
        <f>V97*$Z$5*10^3</f>
        <v>0</v>
      </c>
    </row>
    <row r="98" spans="1:23">
      <c r="A98" s="5" t="s">
        <v>36</v>
      </c>
      <c r="B98" s="47" t="s">
        <v>50</v>
      </c>
      <c r="C98" s="44">
        <v>14</v>
      </c>
      <c r="D98" s="1">
        <v>4.07</v>
      </c>
      <c r="E98" s="1">
        <v>21</v>
      </c>
      <c r="F98" s="1">
        <v>19.3</v>
      </c>
      <c r="G98" s="1">
        <v>7.0419999999999998</v>
      </c>
      <c r="H98" s="1">
        <v>8.0519999999999996</v>
      </c>
      <c r="I98" s="1">
        <v>-191.3</v>
      </c>
      <c r="J98" s="1">
        <v>-245.3</v>
      </c>
      <c r="K98" s="1">
        <v>-57.21</v>
      </c>
      <c r="L98" s="1"/>
      <c r="M98" s="1"/>
      <c r="N98" s="1">
        <f>I98/1000</f>
        <v>-0.1913</v>
      </c>
      <c r="O98" s="1">
        <f t="shared" ref="O98:O160" si="7">N98/0.4</f>
        <v>-0.47824999999999995</v>
      </c>
      <c r="P98" s="1">
        <f>N98*I98</f>
        <v>36.595690000000005</v>
      </c>
      <c r="Q98" s="1">
        <f>(P98*10^-6)/D_Calculation_electrode_area!$H$21</f>
        <v>1.0113616091939731E-2</v>
      </c>
      <c r="R98" s="1">
        <f t="shared" si="6"/>
        <v>9.1489225000000013E-5</v>
      </c>
      <c r="S98" s="43">
        <f>10^-G98</f>
        <v>9.0782053017818429E-8</v>
      </c>
      <c r="T98" s="43"/>
      <c r="U98" s="1"/>
      <c r="V98" s="163"/>
      <c r="W98" s="170">
        <f>V98*$Z$5*10^3</f>
        <v>0</v>
      </c>
    </row>
    <row r="99" spans="1:23">
      <c r="A99" s="5" t="s">
        <v>37</v>
      </c>
      <c r="B99" s="47" t="s">
        <v>50</v>
      </c>
      <c r="C99" s="44">
        <v>14</v>
      </c>
      <c r="D99" s="1">
        <v>6.51</v>
      </c>
      <c r="E99" s="1">
        <v>21.4</v>
      </c>
      <c r="F99" s="1">
        <v>19.2</v>
      </c>
      <c r="G99" s="1">
        <v>7.0750000000000002</v>
      </c>
      <c r="H99" s="1">
        <v>8.1750000000000007</v>
      </c>
      <c r="I99" s="1">
        <v>-69</v>
      </c>
      <c r="J99" s="1">
        <v>-285.2</v>
      </c>
      <c r="K99" s="1">
        <v>-218</v>
      </c>
      <c r="L99" s="1"/>
      <c r="M99" s="1"/>
      <c r="N99" s="1">
        <f>I99/1000</f>
        <v>-6.9000000000000006E-2</v>
      </c>
      <c r="O99" s="1">
        <f t="shared" si="7"/>
        <v>-0.17250000000000001</v>
      </c>
      <c r="P99" s="1">
        <f>N99*I99</f>
        <v>4.7610000000000001</v>
      </c>
      <c r="Q99" s="1">
        <f>(P99*10^-6)/D_Calculation_electrode_area!$H$21</f>
        <v>1.3157540194958762E-3</v>
      </c>
      <c r="R99" s="1">
        <f t="shared" si="6"/>
        <v>1.1902499999999998E-5</v>
      </c>
      <c r="S99" s="43">
        <f>10^-G99</f>
        <v>8.4139514164519218E-8</v>
      </c>
      <c r="T99" s="43"/>
      <c r="U99" s="1"/>
      <c r="V99" s="163"/>
      <c r="W99" s="170">
        <f>V99*$Z$5*10^3</f>
        <v>0</v>
      </c>
    </row>
    <row r="100" spans="1:23">
      <c r="A100" s="5" t="s">
        <v>38</v>
      </c>
      <c r="B100" s="47" t="s">
        <v>50</v>
      </c>
      <c r="C100" s="44">
        <v>14</v>
      </c>
      <c r="D100" s="1">
        <v>6.59</v>
      </c>
      <c r="E100" s="1">
        <v>21.2</v>
      </c>
      <c r="F100" s="1">
        <v>19.100000000000001</v>
      </c>
      <c r="G100" s="1">
        <v>7.0540000000000003</v>
      </c>
      <c r="H100" s="1">
        <v>8.2170000000000005</v>
      </c>
      <c r="I100" s="1">
        <v>-42.9</v>
      </c>
      <c r="J100" s="1">
        <v>134.69999999999999</v>
      </c>
      <c r="K100" s="1">
        <v>177.4</v>
      </c>
      <c r="L100" s="1"/>
      <c r="M100" s="1"/>
      <c r="N100" s="1">
        <f>I100/1000</f>
        <v>-4.2900000000000001E-2</v>
      </c>
      <c r="O100" s="1">
        <f t="shared" si="7"/>
        <v>-0.10725</v>
      </c>
      <c r="P100" s="1">
        <f>N100*I100</f>
        <v>1.8404099999999999</v>
      </c>
      <c r="Q100" s="1">
        <f>(P100*10^-6)/D_Calculation_electrode_area!$H$21</f>
        <v>5.086172768368842E-4</v>
      </c>
      <c r="R100" s="1">
        <f t="shared" si="6"/>
        <v>4.6010249999999997E-6</v>
      </c>
      <c r="S100" s="43">
        <f>10^-G100</f>
        <v>8.8307990041856016E-8</v>
      </c>
      <c r="T100" s="43"/>
      <c r="U100" s="1"/>
      <c r="V100" s="163"/>
      <c r="W100" s="170">
        <f>V100*$Z$5*10^3</f>
        <v>0</v>
      </c>
    </row>
    <row r="101" spans="1:23">
      <c r="A101" s="5" t="s">
        <v>39</v>
      </c>
      <c r="B101" s="47" t="s">
        <v>50</v>
      </c>
      <c r="C101" s="44">
        <v>14</v>
      </c>
      <c r="D101" s="1">
        <v>8.19</v>
      </c>
      <c r="E101" s="1">
        <v>21.7</v>
      </c>
      <c r="F101" s="1">
        <v>19.3</v>
      </c>
      <c r="G101" s="1">
        <v>7.3010000000000002</v>
      </c>
      <c r="H101" s="1">
        <v>8.3010000000000002</v>
      </c>
      <c r="I101" s="1"/>
      <c r="J101" s="1"/>
      <c r="K101" s="1"/>
      <c r="L101" s="1"/>
      <c r="M101" s="1"/>
      <c r="N101" s="1"/>
      <c r="O101" s="1"/>
      <c r="P101" s="1"/>
      <c r="Q101" s="1"/>
      <c r="R101" s="172"/>
      <c r="S101" s="43">
        <f>10^-G101</f>
        <v>5.000345349769775E-8</v>
      </c>
      <c r="T101" s="43"/>
      <c r="U101" s="1"/>
      <c r="V101" s="163"/>
      <c r="W101" s="170">
        <f>V101*$Z$5*10^3</f>
        <v>0</v>
      </c>
    </row>
    <row r="102" spans="1:23">
      <c r="A102" s="5" t="s">
        <v>40</v>
      </c>
      <c r="B102" s="47" t="s">
        <v>50</v>
      </c>
      <c r="C102" s="44">
        <v>14</v>
      </c>
      <c r="D102" s="1">
        <v>8.23</v>
      </c>
      <c r="E102" s="1">
        <v>21.1</v>
      </c>
      <c r="F102" s="1">
        <v>19.3</v>
      </c>
      <c r="G102" s="1">
        <v>7.3259999999999996</v>
      </c>
      <c r="H102" s="1">
        <v>8.2940000000000005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43">
        <f>10^-G102</f>
        <v>4.7206304126358969E-8</v>
      </c>
      <c r="T102" s="43"/>
      <c r="U102" s="1"/>
      <c r="V102" s="163"/>
      <c r="W102" s="170">
        <f>V102*$Z$5*10^3</f>
        <v>0</v>
      </c>
    </row>
    <row r="103" spans="1:23">
      <c r="A103" s="5" t="s">
        <v>41</v>
      </c>
      <c r="B103" s="47" t="s">
        <v>50</v>
      </c>
      <c r="C103" s="44">
        <v>14</v>
      </c>
      <c r="D103" s="1">
        <v>7.82</v>
      </c>
      <c r="E103" s="1">
        <v>21.4</v>
      </c>
      <c r="F103" s="1">
        <v>19.3</v>
      </c>
      <c r="G103" s="1">
        <v>7.234</v>
      </c>
      <c r="H103" s="1">
        <v>8.1929999999999996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43">
        <f>10^-G103</f>
        <v>5.8344510427374411E-8</v>
      </c>
      <c r="T103" s="43"/>
      <c r="U103" s="1"/>
      <c r="V103" s="163"/>
      <c r="W103" s="170">
        <f>V103*$Z$5*10^3</f>
        <v>0</v>
      </c>
    </row>
    <row r="104" spans="1:23">
      <c r="A104" s="5" t="s">
        <v>42</v>
      </c>
      <c r="B104" s="47" t="s">
        <v>50</v>
      </c>
      <c r="C104" s="44">
        <v>14</v>
      </c>
      <c r="D104" s="1">
        <v>7.83</v>
      </c>
      <c r="E104" s="1">
        <v>20.5</v>
      </c>
      <c r="F104" s="1">
        <v>19.600000000000001</v>
      </c>
      <c r="G104" s="1">
        <v>7.2309999999999999</v>
      </c>
      <c r="H104" s="1">
        <v>8.2579999999999991</v>
      </c>
      <c r="I104" s="1">
        <v>-468.5</v>
      </c>
      <c r="J104" s="1">
        <v>-361.2</v>
      </c>
      <c r="K104" s="1">
        <v>98.8</v>
      </c>
      <c r="L104" s="1"/>
      <c r="M104" s="1"/>
      <c r="N104" s="1">
        <f>I104/1000</f>
        <v>-0.46850000000000003</v>
      </c>
      <c r="O104" s="1">
        <f t="shared" si="7"/>
        <v>-1.1712499999999999</v>
      </c>
      <c r="P104" s="1">
        <f>N104*I104</f>
        <v>219.49225000000001</v>
      </c>
      <c r="Q104" s="1">
        <f>(P104*10^-6)/D_Calculation_electrode_area!$H$21</f>
        <v>6.0659065361414362E-2</v>
      </c>
      <c r="R104" s="1">
        <f t="shared" si="6"/>
        <v>5.4873062499999998E-4</v>
      </c>
      <c r="S104" s="43">
        <f>10^-G104</f>
        <v>5.8748935252977515E-8</v>
      </c>
      <c r="T104" s="43"/>
      <c r="U104" s="1"/>
      <c r="V104" s="163"/>
      <c r="W104" s="170">
        <f>V104*$Z$5*10^3</f>
        <v>0</v>
      </c>
    </row>
    <row r="105" spans="1:23">
      <c r="A105" s="5" t="s">
        <v>43</v>
      </c>
      <c r="B105" s="47" t="s">
        <v>50</v>
      </c>
      <c r="C105" s="44">
        <v>14</v>
      </c>
      <c r="D105" s="1">
        <v>7.82</v>
      </c>
      <c r="E105" s="1">
        <v>20.3</v>
      </c>
      <c r="F105" s="1">
        <v>19.600000000000001</v>
      </c>
      <c r="G105" s="1">
        <v>7.1779999999999999</v>
      </c>
      <c r="H105" s="1">
        <v>8.2360000000000007</v>
      </c>
      <c r="I105" s="1">
        <v>-530.20000000000005</v>
      </c>
      <c r="J105" s="1">
        <v>-397.2</v>
      </c>
      <c r="K105" s="1">
        <v>123.2</v>
      </c>
      <c r="L105" s="1"/>
      <c r="M105" s="1"/>
      <c r="N105" s="1">
        <f>I105/1000</f>
        <v>-0.5302</v>
      </c>
      <c r="O105" s="1">
        <f t="shared" si="7"/>
        <v>-1.3254999999999999</v>
      </c>
      <c r="P105" s="1">
        <f>N105*I105</f>
        <v>281.11204000000004</v>
      </c>
      <c r="Q105" s="1">
        <f>(P105*10^-6)/D_Calculation_electrode_area!$H$21</f>
        <v>7.7688363066306582E-2</v>
      </c>
      <c r="R105" s="1">
        <f t="shared" si="6"/>
        <v>7.027801E-4</v>
      </c>
      <c r="S105" s="43">
        <f>10^-G105</f>
        <v>6.6374307040190811E-8</v>
      </c>
      <c r="T105" s="43"/>
      <c r="U105" s="1"/>
      <c r="V105" s="163"/>
      <c r="W105" s="170">
        <f>V105*$Z$5*10^3</f>
        <v>0</v>
      </c>
    </row>
    <row r="106" spans="1:23">
      <c r="A106" s="6" t="s">
        <v>44</v>
      </c>
      <c r="B106" s="53" t="s">
        <v>50</v>
      </c>
      <c r="C106" s="68">
        <v>14</v>
      </c>
      <c r="D106" s="3">
        <v>8.09</v>
      </c>
      <c r="E106" s="3">
        <v>20.5</v>
      </c>
      <c r="F106" s="3">
        <v>19.7</v>
      </c>
      <c r="G106" s="3">
        <v>7.3129999999999997</v>
      </c>
      <c r="H106" s="3">
        <v>8.3049999999999997</v>
      </c>
      <c r="I106" s="3">
        <v>-428.6</v>
      </c>
      <c r="J106" s="3">
        <v>-424.6</v>
      </c>
      <c r="K106" s="3">
        <v>-4.05</v>
      </c>
      <c r="L106" s="3"/>
      <c r="M106" s="3"/>
      <c r="N106" s="3">
        <f>I106/1000</f>
        <v>-0.42860000000000004</v>
      </c>
      <c r="O106" s="3">
        <f t="shared" si="7"/>
        <v>-1.0715000000000001</v>
      </c>
      <c r="P106" s="3">
        <f>N106*I106</f>
        <v>183.69796000000002</v>
      </c>
      <c r="Q106" s="3">
        <f>(P106*10^-6)/D_Calculation_electrode_area!$H$21</f>
        <v>5.0766924856793266E-2</v>
      </c>
      <c r="R106" s="3">
        <f t="shared" si="6"/>
        <v>4.5924490000000002E-4</v>
      </c>
      <c r="S106" s="77">
        <f>10^-G106</f>
        <v>4.8640720569146175E-8</v>
      </c>
      <c r="T106" s="77"/>
      <c r="U106" s="3"/>
      <c r="V106" s="164"/>
      <c r="W106" s="171">
        <f>V106*$Z$5*10^3</f>
        <v>0</v>
      </c>
    </row>
    <row r="107" spans="1:23">
      <c r="A107" s="7" t="s">
        <v>23</v>
      </c>
      <c r="B107" s="47" t="s">
        <v>51</v>
      </c>
      <c r="C107" s="70">
        <v>16</v>
      </c>
      <c r="D107" s="4">
        <v>2.98</v>
      </c>
      <c r="E107" s="4">
        <v>20.9</v>
      </c>
      <c r="F107" s="4">
        <v>19.8</v>
      </c>
      <c r="G107" s="4">
        <v>7.1449999999999996</v>
      </c>
      <c r="H107" s="4">
        <v>8.3290000000000006</v>
      </c>
      <c r="I107" s="4">
        <v>-165.2</v>
      </c>
      <c r="J107" s="4">
        <v>-159.6</v>
      </c>
      <c r="K107" s="4">
        <v>8.7899999999999991</v>
      </c>
      <c r="L107" s="4">
        <f>0.118*10</f>
        <v>1.18</v>
      </c>
      <c r="M107" s="4">
        <f>95.3*5</f>
        <v>476.5</v>
      </c>
      <c r="N107" s="4">
        <f t="shared" ref="N107:N121" si="8">I107/1000</f>
        <v>-0.16519999999999999</v>
      </c>
      <c r="O107" s="4">
        <f t="shared" si="7"/>
        <v>-0.41299999999999992</v>
      </c>
      <c r="P107" s="4">
        <f>I107*N107</f>
        <v>27.291039999999995</v>
      </c>
      <c r="Q107" s="4">
        <f>(P107*10^-6)/D_Calculation_electrode_area!$H$22</f>
        <v>1.5161685841004671E-9</v>
      </c>
      <c r="R107" s="172">
        <f t="shared" si="6"/>
        <v>6.8227599999999984E-5</v>
      </c>
      <c r="S107" s="167">
        <f>10^-G107</f>
        <v>7.1614341021290254E-8</v>
      </c>
      <c r="T107" s="167">
        <f>(M107*10^-3/$Z$4)</f>
        <v>4.9603071330569862E-3</v>
      </c>
      <c r="U107" s="4">
        <f>(L107*10^-3/$Z$3)</f>
        <v>3.4623519111008869E-5</v>
      </c>
      <c r="V107" s="165">
        <f t="shared" ref="V82:V145" si="9">T107+U107</f>
        <v>4.9949306521679948E-3</v>
      </c>
      <c r="W107" s="173">
        <f>V107*$Z$5*10^3</f>
        <v>160.16245136176673</v>
      </c>
    </row>
    <row r="108" spans="1:23">
      <c r="A108" s="5" t="s">
        <v>27</v>
      </c>
      <c r="B108" s="47" t="s">
        <v>51</v>
      </c>
      <c r="C108" s="44">
        <v>16</v>
      </c>
      <c r="D108" s="1">
        <v>4.54</v>
      </c>
      <c r="E108" s="1">
        <v>21.4</v>
      </c>
      <c r="F108" s="1">
        <v>19.5</v>
      </c>
      <c r="G108" s="1">
        <v>7.1859999999999999</v>
      </c>
      <c r="H108" s="1">
        <v>8.4369999999999994</v>
      </c>
      <c r="I108" s="1">
        <v>-164.4</v>
      </c>
      <c r="J108" s="1">
        <v>-7.72</v>
      </c>
      <c r="K108" s="1">
        <v>149.6</v>
      </c>
      <c r="L108" s="1">
        <f>0.393*10</f>
        <v>3.93</v>
      </c>
      <c r="M108" s="1">
        <f>99.7*5</f>
        <v>498.5</v>
      </c>
      <c r="N108" s="1">
        <f t="shared" si="8"/>
        <v>-0.16440000000000002</v>
      </c>
      <c r="O108" s="1">
        <f t="shared" si="7"/>
        <v>-0.41100000000000003</v>
      </c>
      <c r="P108" s="1">
        <f>I108*N108</f>
        <v>27.027360000000005</v>
      </c>
      <c r="Q108" s="1">
        <f>(P108*10^-6)/D_Calculation_electrode_area!$H$22</f>
        <v>1.5015196981563773E-9</v>
      </c>
      <c r="R108" s="1">
        <f t="shared" ref="R108:R171" si="10">(P108*10^-6)/0.4</f>
        <v>6.7568400000000015E-5</v>
      </c>
      <c r="S108" s="43">
        <f>10^-G108</f>
        <v>6.516283940608407E-8</v>
      </c>
      <c r="T108" s="43">
        <f>(M108*10^-3/$Z$4)</f>
        <v>5.189324461340834E-3</v>
      </c>
      <c r="U108" s="1">
        <f>(L108*10^-3/$Z$3)</f>
        <v>1.1531392381886853E-4</v>
      </c>
      <c r="V108" s="163">
        <f t="shared" si="9"/>
        <v>5.3046383851597023E-3</v>
      </c>
      <c r="W108" s="170">
        <f>V108*$Z$5*10^3</f>
        <v>170.09322982014587</v>
      </c>
    </row>
    <row r="109" spans="1:23">
      <c r="A109" s="5" t="s">
        <v>30</v>
      </c>
      <c r="B109" s="47" t="s">
        <v>51</v>
      </c>
      <c r="C109" s="44">
        <v>16</v>
      </c>
      <c r="D109" s="1">
        <v>5.99</v>
      </c>
      <c r="E109" s="1">
        <v>21.7</v>
      </c>
      <c r="F109" s="1">
        <v>19.399999999999999</v>
      </c>
      <c r="G109" s="1">
        <v>7.0469999999999997</v>
      </c>
      <c r="H109" s="1">
        <v>8.7379999999999995</v>
      </c>
      <c r="I109" s="1">
        <v>-169.8</v>
      </c>
      <c r="J109" s="1">
        <v>-295.5</v>
      </c>
      <c r="K109" s="1">
        <v>-126.5</v>
      </c>
      <c r="L109" s="1">
        <f>0.115*10</f>
        <v>1.1500000000000001</v>
      </c>
      <c r="M109" s="1">
        <f>95*5</f>
        <v>475</v>
      </c>
      <c r="N109" s="1">
        <f t="shared" si="8"/>
        <v>-0.16980000000000001</v>
      </c>
      <c r="O109" s="1">
        <f t="shared" si="7"/>
        <v>-0.42449999999999999</v>
      </c>
      <c r="P109" s="1">
        <f>I109*N109</f>
        <v>28.832040000000003</v>
      </c>
      <c r="Q109" s="1">
        <f>(P109*10^-6)/D_Calculation_electrode_area!$H$22</f>
        <v>1.6017796780015728E-9</v>
      </c>
      <c r="R109" s="1">
        <f t="shared" si="10"/>
        <v>7.2080099999999995E-5</v>
      </c>
      <c r="S109" s="43">
        <f>10^-G109</f>
        <v>8.9742879450074698E-8</v>
      </c>
      <c r="T109" s="43">
        <f>(M109*10^-3/$Z$4)</f>
        <v>4.9446923152194509E-3</v>
      </c>
      <c r="U109" s="1">
        <f>(L109*10^-3/$Z$3)</f>
        <v>3.37432601505595E-5</v>
      </c>
      <c r="V109" s="163">
        <f t="shared" si="9"/>
        <v>4.9784355753700101E-3</v>
      </c>
      <c r="W109" s="170">
        <f>V109*$Z$5*10^3</f>
        <v>159.63353672423935</v>
      </c>
    </row>
    <row r="110" spans="1:23">
      <c r="A110" s="5" t="s">
        <v>32</v>
      </c>
      <c r="B110" s="47" t="s">
        <v>51</v>
      </c>
      <c r="C110" s="44">
        <v>16</v>
      </c>
      <c r="D110" s="1">
        <v>6.29</v>
      </c>
      <c r="E110" s="1">
        <v>21.3</v>
      </c>
      <c r="F110" s="1">
        <v>19.600000000000001</v>
      </c>
      <c r="G110" s="1">
        <v>7.4080000000000004</v>
      </c>
      <c r="H110" s="1">
        <v>7.6950000000000003</v>
      </c>
      <c r="I110" s="1">
        <v>-689</v>
      </c>
      <c r="J110" s="1">
        <v>-384</v>
      </c>
      <c r="K110" s="1">
        <v>343.3</v>
      </c>
      <c r="L110" s="1">
        <f>0.395*10</f>
        <v>3.95</v>
      </c>
      <c r="M110" s="1">
        <f>97.3*5</f>
        <v>486.5</v>
      </c>
      <c r="N110" s="1">
        <f t="shared" si="8"/>
        <v>-0.68899999999999995</v>
      </c>
      <c r="O110" s="1">
        <f t="shared" si="7"/>
        <v>-1.7224999999999997</v>
      </c>
      <c r="P110" s="1">
        <f>I110*N110</f>
        <v>474.72099999999995</v>
      </c>
      <c r="Q110" s="1">
        <f>(P110*10^-6)/D_Calculation_electrode_area!$H$22</f>
        <v>2.6373383587168461E-8</v>
      </c>
      <c r="R110" s="1">
        <f t="shared" si="10"/>
        <v>1.1868024999999998E-3</v>
      </c>
      <c r="S110" s="43">
        <f>10^-G110</f>
        <v>3.9084089579240106E-8</v>
      </c>
      <c r="T110" s="43">
        <f>(M110*10^-3/$Z$4)</f>
        <v>5.0644059186405526E-3</v>
      </c>
      <c r="U110" s="1">
        <f>(L110*10^-3/$Z$3)</f>
        <v>1.1590076312583479E-4</v>
      </c>
      <c r="V110" s="163">
        <f t="shared" si="9"/>
        <v>5.1803066817663872E-3</v>
      </c>
      <c r="W110" s="170">
        <f>V110*$Z$5*10^3</f>
        <v>166.10653375083919</v>
      </c>
    </row>
    <row r="111" spans="1:23">
      <c r="A111" s="5" t="s">
        <v>34</v>
      </c>
      <c r="B111" s="47" t="s">
        <v>51</v>
      </c>
      <c r="C111" s="44">
        <v>16</v>
      </c>
      <c r="D111" s="1">
        <v>4.7699999999999996</v>
      </c>
      <c r="E111" s="1">
        <v>21.4</v>
      </c>
      <c r="F111" s="1">
        <v>19.7</v>
      </c>
      <c r="G111" s="1">
        <v>7.5339999999999998</v>
      </c>
      <c r="H111" s="1">
        <v>7.5119999999999996</v>
      </c>
      <c r="I111" s="1">
        <v>-740</v>
      </c>
      <c r="J111" s="1">
        <v>-368.8</v>
      </c>
      <c r="K111" s="1">
        <v>359.2</v>
      </c>
      <c r="L111" s="1">
        <f>0.667*10</f>
        <v>6.67</v>
      </c>
      <c r="M111" s="1">
        <f>83.1*5</f>
        <v>415.5</v>
      </c>
      <c r="N111" s="1">
        <f t="shared" si="8"/>
        <v>-0.74</v>
      </c>
      <c r="O111" s="1">
        <f t="shared" si="7"/>
        <v>-1.8499999999999999</v>
      </c>
      <c r="P111" s="1">
        <f>I111*N111</f>
        <v>547.6</v>
      </c>
      <c r="Q111" s="1">
        <f>(P111*10^-6)/D_Calculation_electrode_area!$H$22</f>
        <v>3.0422216106583554E-8</v>
      </c>
      <c r="R111" s="1">
        <f t="shared" si="10"/>
        <v>1.3689999999999998E-3</v>
      </c>
      <c r="S111" s="43">
        <f>10^-G111</f>
        <v>2.9241523778433299E-8</v>
      </c>
      <c r="T111" s="43">
        <f>(M111*10^-3/$Z$4)</f>
        <v>4.3253045409972248E-3</v>
      </c>
      <c r="U111" s="1">
        <f>(L111*10^-3/$Z$3)</f>
        <v>1.9571090887324504E-4</v>
      </c>
      <c r="V111" s="163">
        <f t="shared" si="9"/>
        <v>4.5210154498704696E-3</v>
      </c>
      <c r="W111" s="170">
        <f>V111*$Z$5*10^3</f>
        <v>144.96636040009662</v>
      </c>
    </row>
    <row r="112" spans="1:23">
      <c r="A112" s="5" t="s">
        <v>35</v>
      </c>
      <c r="B112" s="47" t="s">
        <v>51</v>
      </c>
      <c r="C112" s="44">
        <v>16</v>
      </c>
      <c r="D112" s="1">
        <v>5.71</v>
      </c>
      <c r="E112" s="1">
        <v>21.5</v>
      </c>
      <c r="F112" s="1">
        <v>19.600000000000001</v>
      </c>
      <c r="G112" s="1">
        <v>7.4320000000000004</v>
      </c>
      <c r="H112" s="1">
        <v>7.7030000000000003</v>
      </c>
      <c r="I112" s="1">
        <v>-697</v>
      </c>
      <c r="J112" s="1">
        <v>-370.5</v>
      </c>
      <c r="K112" s="1">
        <v>335.5</v>
      </c>
      <c r="L112" s="1">
        <f>0.368*10</f>
        <v>3.6799999999999997</v>
      </c>
      <c r="M112" s="1">
        <f>98.1*5</f>
        <v>490.5</v>
      </c>
      <c r="N112" s="1">
        <f t="shared" si="8"/>
        <v>-0.69699999999999995</v>
      </c>
      <c r="O112" s="1">
        <f t="shared" si="7"/>
        <v>-1.7424999999999997</v>
      </c>
      <c r="P112" s="1">
        <f>I112*N112</f>
        <v>485.80899999999997</v>
      </c>
      <c r="Q112" s="1">
        <f>(P112*10^-6)/D_Calculation_electrode_area!$H$22</f>
        <v>2.698938346333683E-8</v>
      </c>
      <c r="R112" s="1">
        <f t="shared" si="10"/>
        <v>1.2145225E-3</v>
      </c>
      <c r="S112" s="43">
        <f>10^-G112</f>
        <v>3.6982817978026565E-8</v>
      </c>
      <c r="T112" s="43">
        <f>(M112*10^-3/$Z$4)</f>
        <v>5.1060454328739797E-3</v>
      </c>
      <c r="U112" s="1">
        <f>(L112*10^-3/$Z$3)</f>
        <v>1.0797843248179036E-4</v>
      </c>
      <c r="V112" s="163">
        <f t="shared" si="9"/>
        <v>5.2140238653557705E-3</v>
      </c>
      <c r="W112" s="170">
        <f>V112*$Z$5*10^3</f>
        <v>167.18767524263276</v>
      </c>
    </row>
    <row r="113" spans="1:23">
      <c r="A113" s="5" t="s">
        <v>36</v>
      </c>
      <c r="B113" s="47" t="s">
        <v>51</v>
      </c>
      <c r="C113" s="44">
        <v>16</v>
      </c>
      <c r="D113" s="1">
        <v>6.1</v>
      </c>
      <c r="E113" s="1">
        <v>21.1</v>
      </c>
      <c r="F113" s="1">
        <v>19.600000000000001</v>
      </c>
      <c r="G113" s="1">
        <v>7.109</v>
      </c>
      <c r="H113" s="1">
        <v>8.4700000000000006</v>
      </c>
      <c r="I113" s="1">
        <v>-95.3</v>
      </c>
      <c r="J113" s="1">
        <v>-47.2</v>
      </c>
      <c r="K113" s="1">
        <v>49.18</v>
      </c>
      <c r="L113" s="1">
        <f>0.319*10</f>
        <v>3.19</v>
      </c>
      <c r="M113" s="1">
        <f>115*5</f>
        <v>575</v>
      </c>
      <c r="N113" s="1">
        <f t="shared" si="8"/>
        <v>-9.5299999999999996E-2</v>
      </c>
      <c r="O113" s="1">
        <f t="shared" si="7"/>
        <v>-0.23824999999999999</v>
      </c>
      <c r="P113" s="1">
        <f>I113*N113</f>
        <v>9.0820899999999991</v>
      </c>
      <c r="Q113" s="1">
        <f>(P113*10^-6)/D_Calculation_electrode_area!$H$21</f>
        <v>2.5099341362997902E-3</v>
      </c>
      <c r="R113" s="1">
        <f t="shared" si="10"/>
        <v>2.2705224999999996E-5</v>
      </c>
      <c r="S113" s="43">
        <f>10^-G113</f>
        <v>7.7803655103980208E-8</v>
      </c>
      <c r="T113" s="43">
        <f>(M113*10^-3/$Z$4)</f>
        <v>5.9856801710551251E-3</v>
      </c>
      <c r="U113" s="1">
        <f>(L113*10^-3/$Z$3)</f>
        <v>9.360086946111721E-5</v>
      </c>
      <c r="V113" s="163">
        <f t="shared" si="9"/>
        <v>6.079281040516242E-3</v>
      </c>
      <c r="W113" s="170">
        <f>V113*$Z$5*10^3</f>
        <v>194.93214656415327</v>
      </c>
    </row>
    <row r="114" spans="1:23">
      <c r="A114" s="5" t="s">
        <v>37</v>
      </c>
      <c r="B114" s="47" t="s">
        <v>51</v>
      </c>
      <c r="C114" s="44">
        <v>16</v>
      </c>
      <c r="D114" s="1">
        <v>6.88</v>
      </c>
      <c r="E114" s="1">
        <v>21.5</v>
      </c>
      <c r="F114" s="1">
        <v>19.5</v>
      </c>
      <c r="G114" s="1">
        <v>7.125</v>
      </c>
      <c r="H114" s="1">
        <v>8.4760000000000009</v>
      </c>
      <c r="I114" s="1">
        <v>-27.75</v>
      </c>
      <c r="J114" s="1">
        <v>55.76</v>
      </c>
      <c r="K114" s="1">
        <v>80.400000000000006</v>
      </c>
      <c r="L114" s="1">
        <f>1.18*10</f>
        <v>11.799999999999999</v>
      </c>
      <c r="M114" s="1">
        <f>117*5</f>
        <v>585</v>
      </c>
      <c r="N114" s="1">
        <f t="shared" si="8"/>
        <v>-2.775E-2</v>
      </c>
      <c r="O114" s="1">
        <f t="shared" si="7"/>
        <v>-6.9374999999999992E-2</v>
      </c>
      <c r="P114" s="1">
        <f>I114*N114</f>
        <v>0.77006249999999998</v>
      </c>
      <c r="Q114" s="1">
        <f>(P114*10^-6)/D_Calculation_electrode_area!$H$21</f>
        <v>2.1281512909851781E-4</v>
      </c>
      <c r="R114" s="1">
        <f t="shared" si="10"/>
        <v>1.9251562499999997E-6</v>
      </c>
      <c r="S114" s="43">
        <f>10^-G114</f>
        <v>7.4989420933245362E-8</v>
      </c>
      <c r="T114" s="43">
        <f>(M114*10^-3/$Z$4)</f>
        <v>6.0897789566386916E-3</v>
      </c>
      <c r="U114" s="1">
        <f>(L114*10^-3/$Z$3)</f>
        <v>3.4623519111008871E-4</v>
      </c>
      <c r="V114" s="163">
        <f t="shared" si="9"/>
        <v>6.4360141477487805E-3</v>
      </c>
      <c r="W114" s="170">
        <f>V114*$Z$5*10^3</f>
        <v>206.37079364756462</v>
      </c>
    </row>
    <row r="115" spans="1:23">
      <c r="A115" s="5" t="s">
        <v>38</v>
      </c>
      <c r="B115" s="47" t="s">
        <v>51</v>
      </c>
      <c r="C115" s="44">
        <v>16</v>
      </c>
      <c r="D115" s="1">
        <v>7.09</v>
      </c>
      <c r="E115" s="1">
        <v>21.4</v>
      </c>
      <c r="F115" s="1">
        <v>19.7</v>
      </c>
      <c r="G115" s="1">
        <v>7.1669999999999998</v>
      </c>
      <c r="H115" s="1">
        <v>8.3469999999999995</v>
      </c>
      <c r="I115" s="1">
        <v>-57.75</v>
      </c>
      <c r="J115" s="1">
        <v>94.2</v>
      </c>
      <c r="K115" s="1">
        <v>146.80000000000001</v>
      </c>
      <c r="L115" s="1">
        <f>1.84*15</f>
        <v>27.6</v>
      </c>
      <c r="M115" s="1">
        <f>94.7*5</f>
        <v>473.5</v>
      </c>
      <c r="N115" s="1">
        <f t="shared" si="8"/>
        <v>-5.7750000000000003E-2</v>
      </c>
      <c r="O115" s="1">
        <f t="shared" si="7"/>
        <v>-0.144375</v>
      </c>
      <c r="P115" s="1">
        <f>I115*N115</f>
        <v>3.3350625000000003</v>
      </c>
      <c r="Q115" s="1">
        <f>(P115*10^-6)/D_Calculation_electrode_area!$H$21</f>
        <v>9.2168071616151358E-4</v>
      </c>
      <c r="R115" s="1">
        <f t="shared" si="10"/>
        <v>8.3376562500000001E-6</v>
      </c>
      <c r="S115" s="43">
        <f>10^-G115</f>
        <v>6.8076935869374113E-8</v>
      </c>
      <c r="T115" s="43">
        <f>(M115*10^-3/$Z$4)</f>
        <v>4.9290774973819156E-3</v>
      </c>
      <c r="U115" s="1">
        <f>(L115*10^-3/$Z$3)</f>
        <v>8.0983824361342794E-4</v>
      </c>
      <c r="V115" s="163">
        <f t="shared" si="9"/>
        <v>5.7389157409953439E-3</v>
      </c>
      <c r="W115" s="170">
        <f>V115*$Z$5*10^3</f>
        <v>184.01833323501569</v>
      </c>
    </row>
    <row r="116" spans="1:23">
      <c r="A116" s="5" t="s">
        <v>39</v>
      </c>
      <c r="B116" s="47" t="s">
        <v>51</v>
      </c>
      <c r="C116" s="44">
        <v>16</v>
      </c>
      <c r="D116" s="1">
        <v>7.83</v>
      </c>
      <c r="E116" s="1">
        <v>21.8</v>
      </c>
      <c r="F116" s="1">
        <v>19.7</v>
      </c>
      <c r="G116" s="1">
        <v>7.4249999999999998</v>
      </c>
      <c r="H116" s="1">
        <v>8.3249999999999993</v>
      </c>
      <c r="I116" s="1"/>
      <c r="J116" s="1"/>
      <c r="K116" s="1"/>
      <c r="L116" s="1">
        <f>2.65*15</f>
        <v>39.75</v>
      </c>
      <c r="M116" s="1">
        <f>97*5</f>
        <v>485</v>
      </c>
      <c r="N116" s="1"/>
      <c r="O116" s="1"/>
      <c r="P116" s="1"/>
      <c r="Q116" s="1"/>
      <c r="R116" s="172"/>
      <c r="S116" s="43">
        <f>10^-G116</f>
        <v>3.7583740428844414E-8</v>
      </c>
      <c r="T116" s="43">
        <f>(M116*10^-3/$Z$4)</f>
        <v>5.0487911008030174E-3</v>
      </c>
      <c r="U116" s="1">
        <f>(L116*10^-3/$Z$3)</f>
        <v>1.166343122595426E-3</v>
      </c>
      <c r="V116" s="163">
        <f t="shared" si="9"/>
        <v>6.2151342233984436E-3</v>
      </c>
      <c r="W116" s="170">
        <f>V116*$Z$5*10^3</f>
        <v>199.28827887327108</v>
      </c>
    </row>
    <row r="117" spans="1:23">
      <c r="A117" s="5" t="s">
        <v>40</v>
      </c>
      <c r="B117" s="47" t="s">
        <v>51</v>
      </c>
      <c r="C117" s="44">
        <v>16</v>
      </c>
      <c r="D117" s="1">
        <v>7.77</v>
      </c>
      <c r="E117" s="1">
        <v>21.3</v>
      </c>
      <c r="F117" s="1">
        <v>19.7</v>
      </c>
      <c r="G117" s="1">
        <v>7.4279999999999999</v>
      </c>
      <c r="H117" s="1">
        <v>8.2509999999999994</v>
      </c>
      <c r="I117" s="1"/>
      <c r="J117" s="1"/>
      <c r="K117" s="1"/>
      <c r="L117" s="1">
        <f>1.52*15</f>
        <v>22.8</v>
      </c>
      <c r="M117" s="1">
        <f>103*5</f>
        <v>515</v>
      </c>
      <c r="N117" s="1"/>
      <c r="O117" s="1"/>
      <c r="P117" s="1"/>
      <c r="Q117" s="1"/>
      <c r="R117" s="1"/>
      <c r="S117" s="43">
        <f>10^-G117</f>
        <v>3.7325015779571974E-8</v>
      </c>
      <c r="T117" s="43">
        <f>(M117*10^-3/$Z$4)</f>
        <v>5.3610874575537202E-3</v>
      </c>
      <c r="U117" s="1">
        <f>(L117*10^-3/$Z$3)</f>
        <v>6.689968099415273E-4</v>
      </c>
      <c r="V117" s="163">
        <f t="shared" si="9"/>
        <v>6.030084267495248E-3</v>
      </c>
      <c r="W117" s="170">
        <f>V117*$Z$5*10^3</f>
        <v>193.35465203723513</v>
      </c>
    </row>
    <row r="118" spans="1:23">
      <c r="A118" s="5" t="s">
        <v>41</v>
      </c>
      <c r="B118" s="47" t="s">
        <v>51</v>
      </c>
      <c r="C118" s="44">
        <v>16</v>
      </c>
      <c r="D118" s="1">
        <v>7.53</v>
      </c>
      <c r="E118" s="1">
        <v>21.6</v>
      </c>
      <c r="F118" s="1">
        <v>19.7</v>
      </c>
      <c r="G118" s="1">
        <v>7.3259999999999996</v>
      </c>
      <c r="H118" s="1">
        <v>8.1690000000000005</v>
      </c>
      <c r="I118" s="1"/>
      <c r="J118" s="1"/>
      <c r="K118" s="1"/>
      <c r="L118" s="1">
        <f>1.7*10</f>
        <v>17</v>
      </c>
      <c r="M118" s="1">
        <f>100*5</f>
        <v>500</v>
      </c>
      <c r="N118" s="1"/>
      <c r="O118" s="1"/>
      <c r="P118" s="1"/>
      <c r="Q118" s="1"/>
      <c r="R118" s="1"/>
      <c r="S118" s="43">
        <f>10^-G118</f>
        <v>4.7206304126358969E-8</v>
      </c>
      <c r="T118" s="43">
        <f>(M118*10^-3/$Z$4)</f>
        <v>5.2049392791783692E-3</v>
      </c>
      <c r="U118" s="1">
        <f>(L118*10^-3/$Z$3)</f>
        <v>4.9881341092131431E-4</v>
      </c>
      <c r="V118" s="163">
        <f t="shared" si="9"/>
        <v>5.7037526900996834E-3</v>
      </c>
      <c r="W118" s="170">
        <f>V118*$Z$5*10^3</f>
        <v>182.89083000804635</v>
      </c>
    </row>
    <row r="119" spans="1:23">
      <c r="A119" s="5" t="s">
        <v>42</v>
      </c>
      <c r="B119" s="47" t="s">
        <v>51</v>
      </c>
      <c r="C119" s="44">
        <v>16</v>
      </c>
      <c r="D119" s="1">
        <v>7.7</v>
      </c>
      <c r="E119" s="1">
        <v>20.6</v>
      </c>
      <c r="F119" s="1">
        <v>19.8</v>
      </c>
      <c r="G119" s="1">
        <v>7.3319999999999999</v>
      </c>
      <c r="H119" s="1">
        <v>8.08</v>
      </c>
      <c r="I119" s="1">
        <v>-519</v>
      </c>
      <c r="J119" s="1">
        <v>-376.1</v>
      </c>
      <c r="K119" s="1">
        <v>150.80000000000001</v>
      </c>
      <c r="L119" s="1">
        <v>0.03</v>
      </c>
      <c r="M119" s="1">
        <f>72.6*5</f>
        <v>363</v>
      </c>
      <c r="N119" s="1">
        <f t="shared" si="8"/>
        <v>-0.51900000000000002</v>
      </c>
      <c r="O119" s="1">
        <f t="shared" si="7"/>
        <v>-1.2974999999999999</v>
      </c>
      <c r="P119" s="1">
        <f>I119*N119</f>
        <v>269.36099999999999</v>
      </c>
      <c r="Q119" s="1">
        <f>(P119*10^-6)/D_Calculation_electrode_area!$H$21</f>
        <v>7.4440835632310173E-2</v>
      </c>
      <c r="R119" s="1">
        <f t="shared" ref="R119:R182" si="11">(P119*10^-6)/0.4</f>
        <v>6.7340249999999987E-4</v>
      </c>
      <c r="S119" s="43">
        <f>10^-G119</f>
        <v>4.6558609352295778E-8</v>
      </c>
      <c r="T119" s="43">
        <f>(M119*10^-3/$Z$4)</f>
        <v>3.7787859166834958E-3</v>
      </c>
      <c r="U119" s="1">
        <f>(L119*10^-3/$Z$3)</f>
        <v>8.8025896044937804E-7</v>
      </c>
      <c r="V119" s="163">
        <f t="shared" si="9"/>
        <v>3.7796661756439452E-3</v>
      </c>
      <c r="W119" s="170">
        <f>V119*$Z$5*10^3</f>
        <v>121.1949959220231</v>
      </c>
    </row>
    <row r="120" spans="1:23">
      <c r="A120" s="5" t="s">
        <v>43</v>
      </c>
      <c r="B120" s="47" t="s">
        <v>51</v>
      </c>
      <c r="C120" s="44">
        <v>16</v>
      </c>
      <c r="D120" s="1">
        <v>7.85</v>
      </c>
      <c r="E120" s="1">
        <v>20.399999999999999</v>
      </c>
      <c r="F120" s="1">
        <v>19.899999999999999</v>
      </c>
      <c r="G120" s="1">
        <v>7.2519999999999998</v>
      </c>
      <c r="H120" s="1">
        <v>8.0950000000000006</v>
      </c>
      <c r="I120" s="1">
        <v>-574</v>
      </c>
      <c r="J120" s="1">
        <v>-383.2</v>
      </c>
      <c r="K120" s="1">
        <v>177.4</v>
      </c>
      <c r="L120" s="1">
        <v>0.13</v>
      </c>
      <c r="M120" s="1">
        <f>123*5</f>
        <v>615</v>
      </c>
      <c r="N120" s="1">
        <f t="shared" si="8"/>
        <v>-0.57399999999999995</v>
      </c>
      <c r="O120" s="1">
        <f t="shared" si="7"/>
        <v>-1.4349999999999998</v>
      </c>
      <c r="P120" s="1">
        <f>I120*N120</f>
        <v>329.476</v>
      </c>
      <c r="Q120" s="1">
        <f>(P120*10^-6)/D_Calculation_electrode_area!$H$21</f>
        <v>9.1054268289733953E-2</v>
      </c>
      <c r="R120" s="1">
        <f t="shared" si="11"/>
        <v>8.2368999999999997E-4</v>
      </c>
      <c r="S120" s="43">
        <f>10^-G120</f>
        <v>5.5975760149511037E-8</v>
      </c>
      <c r="T120" s="43">
        <f>(M120*10^-3/$Z$4)</f>
        <v>6.4020753133893936E-3</v>
      </c>
      <c r="U120" s="1">
        <f>(L120*10^-3/$Z$3)</f>
        <v>3.8144554952806386E-6</v>
      </c>
      <c r="V120" s="163">
        <f t="shared" si="9"/>
        <v>6.4058897688846744E-3</v>
      </c>
      <c r="W120" s="170">
        <f>V120*$Z$5*10^3</f>
        <v>205.40485543928708</v>
      </c>
    </row>
    <row r="121" spans="1:23">
      <c r="A121" s="34" t="s">
        <v>44</v>
      </c>
      <c r="B121" s="52" t="s">
        <v>51</v>
      </c>
      <c r="C121" s="66">
        <v>16</v>
      </c>
      <c r="D121" s="2">
        <v>7.97</v>
      </c>
      <c r="E121" s="2">
        <v>20.5</v>
      </c>
      <c r="F121" s="2">
        <v>20.100000000000001</v>
      </c>
      <c r="G121" s="2">
        <v>7.3840000000000003</v>
      </c>
      <c r="H121" s="2">
        <v>8.1679999999999993</v>
      </c>
      <c r="I121" s="2">
        <v>-413</v>
      </c>
      <c r="J121" s="2">
        <v>-359.1</v>
      </c>
      <c r="K121" s="2">
        <v>55.64</v>
      </c>
      <c r="L121" s="2">
        <v>0.14099999999999999</v>
      </c>
      <c r="M121" s="2">
        <f>124*5</f>
        <v>620</v>
      </c>
      <c r="N121" s="2">
        <f t="shared" si="8"/>
        <v>-0.41299999999999998</v>
      </c>
      <c r="O121" s="2">
        <f t="shared" si="7"/>
        <v>-1.0325</v>
      </c>
      <c r="P121" s="2">
        <f>I121*N121</f>
        <v>170.56899999999999</v>
      </c>
      <c r="Q121" s="2">
        <f>(P121*10^-6)/D_Calculation_electrode_area!$H$21</f>
        <v>4.7138594276704915E-2</v>
      </c>
      <c r="R121" s="2">
        <f t="shared" si="11"/>
        <v>4.2642249999999993E-4</v>
      </c>
      <c r="S121" s="78">
        <f>10^-G121</f>
        <v>4.1304750199015994E-8</v>
      </c>
      <c r="T121" s="78">
        <f>(M121*10^-3/$Z$4)</f>
        <v>6.4541247061811772E-3</v>
      </c>
      <c r="U121" s="2">
        <f>(L121*10^-3/$Z$3)</f>
        <v>4.137217114112076E-6</v>
      </c>
      <c r="V121" s="166">
        <f t="shared" si="9"/>
        <v>6.458261923295289E-3</v>
      </c>
      <c r="W121" s="174">
        <f>V121*$Z$5*10^3</f>
        <v>207.08416857046345</v>
      </c>
    </row>
    <row r="122" spans="1:23">
      <c r="A122" s="35" t="s">
        <v>23</v>
      </c>
      <c r="B122" s="54" t="s">
        <v>52</v>
      </c>
      <c r="C122" s="67">
        <v>18</v>
      </c>
      <c r="D122" s="38">
        <v>4.57</v>
      </c>
      <c r="E122" s="38">
        <v>21.9</v>
      </c>
      <c r="F122" s="38">
        <v>20</v>
      </c>
      <c r="G122" s="38">
        <v>6.98</v>
      </c>
      <c r="H122" s="38">
        <v>8.6199999999999992</v>
      </c>
      <c r="I122" s="38">
        <v>-220.4</v>
      </c>
      <c r="J122" s="38">
        <v>-148.9</v>
      </c>
      <c r="K122" s="12">
        <v>-71</v>
      </c>
      <c r="L122" s="12"/>
      <c r="M122" s="12"/>
      <c r="N122" s="12">
        <f t="shared" ref="N122:N136" si="12">I122/1000</f>
        <v>-0.22040000000000001</v>
      </c>
      <c r="O122" s="12">
        <f t="shared" si="7"/>
        <v>-0.55100000000000005</v>
      </c>
      <c r="P122" s="12">
        <f>I122*N122</f>
        <v>48.576160000000002</v>
      </c>
      <c r="Q122" s="12">
        <f>(P122*10^-6)/D_Calculation_electrode_area!$H$22</f>
        <v>2.6986750130532865E-9</v>
      </c>
      <c r="R122" s="168">
        <f t="shared" si="11"/>
        <v>1.214404E-4</v>
      </c>
      <c r="S122" s="63">
        <f>10^-G122</f>
        <v>1.0471285480508987E-7</v>
      </c>
      <c r="T122" s="63"/>
      <c r="U122" s="12"/>
      <c r="V122" s="162"/>
      <c r="W122" s="169">
        <f>V122*$Z$5*10^3</f>
        <v>0</v>
      </c>
    </row>
    <row r="123" spans="1:23">
      <c r="A123" s="5" t="s">
        <v>27</v>
      </c>
      <c r="B123" s="55" t="s">
        <v>52</v>
      </c>
      <c r="C123" s="44">
        <v>18</v>
      </c>
      <c r="D123" s="33">
        <v>5.41</v>
      </c>
      <c r="E123" s="33">
        <v>21</v>
      </c>
      <c r="F123" s="33">
        <v>20</v>
      </c>
      <c r="G123" s="33">
        <v>7.0259999999999998</v>
      </c>
      <c r="H123" s="33">
        <v>8.7159999999999993</v>
      </c>
      <c r="I123" s="33">
        <v>-178.2</v>
      </c>
      <c r="J123" s="33">
        <v>-40.22</v>
      </c>
      <c r="K123" s="1">
        <v>138.80000000000001</v>
      </c>
      <c r="L123" s="1"/>
      <c r="M123" s="1"/>
      <c r="N123" s="1">
        <f t="shared" si="12"/>
        <v>-0.1782</v>
      </c>
      <c r="O123" s="1">
        <f t="shared" si="7"/>
        <v>-0.44549999999999995</v>
      </c>
      <c r="P123" s="1">
        <f>I123*N123</f>
        <v>31.755239999999997</v>
      </c>
      <c r="Q123" s="1">
        <f>(P123*10^-6)/D_Calculation_electrode_area!$H$22</f>
        <v>1.7641796453550513E-9</v>
      </c>
      <c r="R123" s="1">
        <f t="shared" si="11"/>
        <v>7.9388099999999973E-5</v>
      </c>
      <c r="S123" s="43">
        <f>10^-G123</f>
        <v>9.4188959652284026E-8</v>
      </c>
      <c r="T123" s="43"/>
      <c r="U123" s="1"/>
      <c r="V123" s="163"/>
      <c r="W123" s="170">
        <f>V123*$Z$5*10^3</f>
        <v>0</v>
      </c>
    </row>
    <row r="124" spans="1:23">
      <c r="A124" s="5" t="s">
        <v>30</v>
      </c>
      <c r="B124" s="55" t="s">
        <v>52</v>
      </c>
      <c r="C124" s="44">
        <v>18</v>
      </c>
      <c r="D124" s="33">
        <v>6.12</v>
      </c>
      <c r="E124" s="33">
        <v>21.5</v>
      </c>
      <c r="F124" s="33">
        <v>20.2</v>
      </c>
      <c r="G124" s="33">
        <v>6.8739999999999997</v>
      </c>
      <c r="H124" s="33">
        <v>7.7039999999999997</v>
      </c>
      <c r="I124" s="33">
        <v>-166.5</v>
      </c>
      <c r="J124" s="33">
        <v>-312.2</v>
      </c>
      <c r="K124" s="1">
        <v>-154.6</v>
      </c>
      <c r="L124" s="1"/>
      <c r="M124" s="1"/>
      <c r="N124" s="1">
        <f t="shared" si="12"/>
        <v>-0.16650000000000001</v>
      </c>
      <c r="O124" s="1">
        <f t="shared" si="7"/>
        <v>-0.41625000000000001</v>
      </c>
      <c r="P124" s="1">
        <f>I124*N124</f>
        <v>27.722250000000003</v>
      </c>
      <c r="Q124" s="1">
        <f>(P124*10^-6)/D_Calculation_electrode_area!$H$22</f>
        <v>1.5401246903957923E-9</v>
      </c>
      <c r="R124" s="1">
        <f t="shared" si="10"/>
        <v>6.9305624999999998E-5</v>
      </c>
      <c r="S124" s="43">
        <f>10^-G124</f>
        <v>1.3365955165464408E-7</v>
      </c>
      <c r="T124" s="43"/>
      <c r="U124" s="1"/>
      <c r="V124" s="163"/>
      <c r="W124" s="170">
        <f>V124*$Z$5*10^3</f>
        <v>0</v>
      </c>
    </row>
    <row r="125" spans="1:23">
      <c r="A125" s="5" t="s">
        <v>32</v>
      </c>
      <c r="B125" s="55" t="s">
        <v>52</v>
      </c>
      <c r="C125" s="44">
        <v>18</v>
      </c>
      <c r="D125" s="33">
        <v>6.7</v>
      </c>
      <c r="E125" s="33">
        <v>21.9</v>
      </c>
      <c r="F125" s="33">
        <v>20</v>
      </c>
      <c r="G125" s="33">
        <v>7.32</v>
      </c>
      <c r="H125" s="33">
        <v>7.6210000000000004</v>
      </c>
      <c r="I125" s="33">
        <v>-688</v>
      </c>
      <c r="J125" s="33">
        <v>-414.5</v>
      </c>
      <c r="K125" s="1">
        <v>286.39999999999998</v>
      </c>
      <c r="L125" s="1"/>
      <c r="M125" s="1"/>
      <c r="N125" s="1">
        <f t="shared" si="12"/>
        <v>-0.68799999999999994</v>
      </c>
      <c r="O125" s="1">
        <f t="shared" si="7"/>
        <v>-1.7199999999999998</v>
      </c>
      <c r="P125" s="1">
        <f>I125*N125</f>
        <v>473.34399999999994</v>
      </c>
      <c r="Q125" s="1">
        <f>(P125*10^-6)/D_Calculation_electrode_area!$H$22</f>
        <v>2.6296883602546899E-8</v>
      </c>
      <c r="R125" s="1">
        <f t="shared" si="10"/>
        <v>1.1833599999999996E-3</v>
      </c>
      <c r="S125" s="43">
        <f>10^-G125</f>
        <v>4.7863009232263782E-8</v>
      </c>
      <c r="T125" s="43"/>
      <c r="U125" s="1"/>
      <c r="V125" s="163"/>
      <c r="W125" s="170">
        <f>V125*$Z$5*10^3</f>
        <v>0</v>
      </c>
    </row>
    <row r="126" spans="1:23">
      <c r="A126" s="5" t="s">
        <v>34</v>
      </c>
      <c r="B126" s="55" t="s">
        <v>52</v>
      </c>
      <c r="C126" s="44">
        <v>18</v>
      </c>
      <c r="D126" s="33">
        <v>6.45</v>
      </c>
      <c r="E126" s="33">
        <v>21.7</v>
      </c>
      <c r="F126" s="33">
        <v>20.5</v>
      </c>
      <c r="G126" s="33">
        <v>7.4450000000000003</v>
      </c>
      <c r="H126" s="33">
        <v>7.3929999999999998</v>
      </c>
      <c r="I126" s="33">
        <v>-744</v>
      </c>
      <c r="J126" s="33">
        <v>-424.3</v>
      </c>
      <c r="K126" s="1">
        <v>324.5</v>
      </c>
      <c r="L126" s="1"/>
      <c r="M126" s="1"/>
      <c r="N126" s="1">
        <f t="shared" si="12"/>
        <v>-0.74399999999999999</v>
      </c>
      <c r="O126" s="1">
        <f t="shared" si="7"/>
        <v>-1.8599999999999999</v>
      </c>
      <c r="P126" s="1">
        <f>I126*N126</f>
        <v>553.53599999999994</v>
      </c>
      <c r="Q126" s="1">
        <f>(P126*10^-6)/D_Calculation_electrode_area!$H$22</f>
        <v>3.0751993818067621E-8</v>
      </c>
      <c r="R126" s="1">
        <f t="shared" si="10"/>
        <v>1.3838399999999997E-3</v>
      </c>
      <c r="S126" s="43">
        <f>10^-G126</f>
        <v>3.5892193464500394E-8</v>
      </c>
      <c r="T126" s="43"/>
      <c r="U126" s="1"/>
      <c r="V126" s="163"/>
      <c r="W126" s="170">
        <f>V126*$Z$5*10^3</f>
        <v>0</v>
      </c>
    </row>
    <row r="127" spans="1:23">
      <c r="A127" s="5" t="s">
        <v>35</v>
      </c>
      <c r="B127" s="55" t="s">
        <v>52</v>
      </c>
      <c r="C127" s="44">
        <v>18</v>
      </c>
      <c r="D127" s="33">
        <v>3.37</v>
      </c>
      <c r="E127" s="33">
        <v>21.7</v>
      </c>
      <c r="F127" s="33">
        <v>20.2</v>
      </c>
      <c r="G127" s="33">
        <v>7.3440000000000003</v>
      </c>
      <c r="H127" s="33">
        <v>7.5309999999999997</v>
      </c>
      <c r="I127" s="33">
        <v>-704</v>
      </c>
      <c r="J127" s="33">
        <v>-382.9</v>
      </c>
      <c r="K127" s="1">
        <v>328.7</v>
      </c>
      <c r="L127" s="1"/>
      <c r="M127" s="1"/>
      <c r="N127" s="1">
        <f t="shared" si="12"/>
        <v>-0.70399999999999996</v>
      </c>
      <c r="O127" s="1">
        <f t="shared" si="7"/>
        <v>-1.7599999999999998</v>
      </c>
      <c r="P127" s="1">
        <f>I127*N127</f>
        <v>495.61599999999999</v>
      </c>
      <c r="Q127" s="1">
        <f>(P127*10^-6)/D_Calculation_electrode_area!$H$22</f>
        <v>2.7534216687144837E-8</v>
      </c>
      <c r="R127" s="1">
        <f t="shared" si="10"/>
        <v>1.2390399999999998E-3</v>
      </c>
      <c r="S127" s="43">
        <f>10^-G127</f>
        <v>4.5289757990361903E-8</v>
      </c>
      <c r="T127" s="43"/>
      <c r="U127" s="1"/>
      <c r="V127" s="163"/>
      <c r="W127" s="170">
        <f>V127*$Z$5*10^3</f>
        <v>0</v>
      </c>
    </row>
    <row r="128" spans="1:23">
      <c r="A128" s="5" t="s">
        <v>36</v>
      </c>
      <c r="B128" s="55" t="s">
        <v>52</v>
      </c>
      <c r="C128" s="44">
        <v>18</v>
      </c>
      <c r="D128" s="33">
        <v>6.32</v>
      </c>
      <c r="E128" s="33">
        <v>21.7</v>
      </c>
      <c r="F128" s="33">
        <v>20.2</v>
      </c>
      <c r="G128" s="33">
        <v>6.8369999999999997</v>
      </c>
      <c r="H128" s="33">
        <v>8.5719999999999992</v>
      </c>
      <c r="I128" s="33">
        <v>-127.8</v>
      </c>
      <c r="J128" s="33">
        <v>10.06</v>
      </c>
      <c r="K128" s="1">
        <v>138.1</v>
      </c>
      <c r="L128" s="1"/>
      <c r="M128" s="1"/>
      <c r="N128" s="1">
        <f t="shared" si="12"/>
        <v>-0.1278</v>
      </c>
      <c r="O128" s="1">
        <f t="shared" si="7"/>
        <v>-0.31949999999999995</v>
      </c>
      <c r="P128" s="1">
        <f>I128*N128</f>
        <v>16.332840000000001</v>
      </c>
      <c r="Q128" s="1">
        <f>(P128*10^-6)/D_Calculation_electrode_area!$H$21</f>
        <v>4.5137575886962881E-3</v>
      </c>
      <c r="R128" s="1">
        <f t="shared" si="10"/>
        <v>4.0832099999999998E-5</v>
      </c>
      <c r="S128" s="43">
        <f>10^-G128</f>
        <v>1.455459080581966E-7</v>
      </c>
      <c r="T128" s="43"/>
      <c r="U128" s="1"/>
      <c r="V128" s="163"/>
      <c r="W128" s="170">
        <f>V128*$Z$5*10^3</f>
        <v>0</v>
      </c>
    </row>
    <row r="129" spans="1:23">
      <c r="A129" s="5" t="s">
        <v>37</v>
      </c>
      <c r="B129" s="55" t="s">
        <v>52</v>
      </c>
      <c r="C129" s="44">
        <v>18</v>
      </c>
      <c r="D129" s="33">
        <v>6.34</v>
      </c>
      <c r="E129" s="33">
        <v>21.3</v>
      </c>
      <c r="F129" s="33">
        <v>20.100000000000001</v>
      </c>
      <c r="G129" s="33">
        <v>6.9809999999999999</v>
      </c>
      <c r="H129" s="33">
        <v>8.4359999999999999</v>
      </c>
      <c r="I129" s="33">
        <v>-78.7</v>
      </c>
      <c r="J129" s="33">
        <v>22.85</v>
      </c>
      <c r="K129" s="1">
        <v>103.9</v>
      </c>
      <c r="L129" s="1"/>
      <c r="M129" s="1"/>
      <c r="N129" s="1">
        <f t="shared" si="12"/>
        <v>-7.8700000000000006E-2</v>
      </c>
      <c r="O129" s="1">
        <f t="shared" si="7"/>
        <v>-0.19675000000000001</v>
      </c>
      <c r="P129" s="1">
        <f>I129*N129</f>
        <v>6.193690000000001</v>
      </c>
      <c r="Q129" s="1">
        <f>(P129*10^-6)/D_Calculation_electrode_area!$H$21</f>
        <v>1.7116934494877999E-3</v>
      </c>
      <c r="R129" s="1">
        <f t="shared" si="10"/>
        <v>1.5484225000000002E-5</v>
      </c>
      <c r="S129" s="43">
        <f>10^-G129</f>
        <v>1.0447202192207985E-7</v>
      </c>
      <c r="T129" s="43"/>
      <c r="U129" s="1"/>
      <c r="V129" s="163"/>
      <c r="W129" s="170">
        <f>V129*$Z$5*10^3</f>
        <v>0</v>
      </c>
    </row>
    <row r="130" spans="1:23">
      <c r="A130" s="5" t="s">
        <v>38</v>
      </c>
      <c r="B130" s="55" t="s">
        <v>52</v>
      </c>
      <c r="C130" s="44">
        <v>18</v>
      </c>
      <c r="D130" s="33">
        <v>6.41</v>
      </c>
      <c r="E130" s="33">
        <v>22.3</v>
      </c>
      <c r="F130" s="33">
        <v>20.2</v>
      </c>
      <c r="G130" s="33">
        <v>6.9989999999999997</v>
      </c>
      <c r="H130" s="33">
        <v>8.39</v>
      </c>
      <c r="I130" s="33">
        <v>-61.96</v>
      </c>
      <c r="J130" s="33">
        <v>81.5</v>
      </c>
      <c r="K130" s="1">
        <v>143.5</v>
      </c>
      <c r="L130" s="1"/>
      <c r="M130" s="1"/>
      <c r="N130" s="1">
        <f t="shared" si="12"/>
        <v>-6.1960000000000001E-2</v>
      </c>
      <c r="O130" s="1">
        <f t="shared" si="7"/>
        <v>-0.15489999999999998</v>
      </c>
      <c r="P130" s="1">
        <f>I130*N130</f>
        <v>3.8390416000000003</v>
      </c>
      <c r="Q130" s="1">
        <f>(P130*10^-6)/D_Calculation_electrode_area!$H$21</f>
        <v>1.0609608099583869E-3</v>
      </c>
      <c r="R130" s="1">
        <f t="shared" si="10"/>
        <v>9.5976040000000003E-6</v>
      </c>
      <c r="S130" s="43">
        <f>10^-G130</f>
        <v>1.0023052380778997E-7</v>
      </c>
      <c r="T130" s="43"/>
      <c r="U130" s="1"/>
      <c r="V130" s="163"/>
      <c r="W130" s="170">
        <f>V130*$Z$5*10^3</f>
        <v>0</v>
      </c>
    </row>
    <row r="131" spans="1:23">
      <c r="A131" s="5" t="s">
        <v>39</v>
      </c>
      <c r="B131" s="55" t="s">
        <v>52</v>
      </c>
      <c r="C131" s="44">
        <v>18</v>
      </c>
      <c r="D131" s="33">
        <v>6.85</v>
      </c>
      <c r="E131" s="33">
        <v>21.5</v>
      </c>
      <c r="F131" s="33">
        <v>20.100000000000001</v>
      </c>
      <c r="G131" s="33">
        <v>7.306</v>
      </c>
      <c r="H131" s="33">
        <v>8.0429999999999993</v>
      </c>
      <c r="I131" s="1"/>
      <c r="J131" s="1"/>
      <c r="K131" s="1"/>
      <c r="L131" s="1"/>
      <c r="M131" s="1"/>
      <c r="N131" s="1"/>
      <c r="O131" s="1"/>
      <c r="P131" s="1"/>
      <c r="Q131" s="1"/>
      <c r="R131" s="172"/>
      <c r="S131" s="43">
        <f>10^-G131</f>
        <v>4.9431068698683441E-8</v>
      </c>
      <c r="T131" s="43"/>
      <c r="U131" s="1"/>
      <c r="V131" s="163"/>
      <c r="W131" s="170">
        <f>V131*$Z$5*10^3</f>
        <v>0</v>
      </c>
    </row>
    <row r="132" spans="1:23">
      <c r="A132" s="5" t="s">
        <v>40</v>
      </c>
      <c r="B132" s="55" t="s">
        <v>52</v>
      </c>
      <c r="C132" s="44">
        <v>18</v>
      </c>
      <c r="D132" s="33">
        <v>6.71</v>
      </c>
      <c r="E132" s="33">
        <v>21.8</v>
      </c>
      <c r="F132" s="33">
        <v>20.2</v>
      </c>
      <c r="G132" s="33">
        <v>7.2949999999999999</v>
      </c>
      <c r="H132" s="33">
        <v>7.7149999999999999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43">
        <f>10^-G132</f>
        <v>5.0699070827470363E-8</v>
      </c>
      <c r="T132" s="43"/>
      <c r="U132" s="1"/>
      <c r="V132" s="163"/>
      <c r="W132" s="170">
        <f>V132*$Z$5*10^3</f>
        <v>0</v>
      </c>
    </row>
    <row r="133" spans="1:23">
      <c r="A133" s="5" t="s">
        <v>41</v>
      </c>
      <c r="B133" s="55" t="s">
        <v>52</v>
      </c>
      <c r="C133" s="44">
        <v>18</v>
      </c>
      <c r="D133" s="33">
        <v>5.84</v>
      </c>
      <c r="E133" s="33">
        <v>21.4</v>
      </c>
      <c r="F133" s="33">
        <v>20.2</v>
      </c>
      <c r="G133" s="33">
        <v>7.1760000000000002</v>
      </c>
      <c r="H133" s="33">
        <v>8.0380000000000003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43">
        <f>10^-G133</f>
        <v>6.6680676921361997E-8</v>
      </c>
      <c r="T133" s="43"/>
      <c r="U133" s="1"/>
      <c r="V133" s="163"/>
      <c r="W133" s="170">
        <f>V133*$Z$5*10^3</f>
        <v>0</v>
      </c>
    </row>
    <row r="134" spans="1:23">
      <c r="A134" s="5" t="s">
        <v>42</v>
      </c>
      <c r="B134" s="55" t="s">
        <v>52</v>
      </c>
      <c r="C134" s="44">
        <v>18</v>
      </c>
      <c r="D134" s="33">
        <v>5.29</v>
      </c>
      <c r="E134" s="33">
        <v>20.6</v>
      </c>
      <c r="F134" s="33">
        <v>20.5</v>
      </c>
      <c r="G134" s="33">
        <v>7.1529999999999996</v>
      </c>
      <c r="H134" s="33">
        <v>7.5359999999999996</v>
      </c>
      <c r="I134" s="33">
        <v>-554.70000000000005</v>
      </c>
      <c r="J134" s="33">
        <v>-386.6</v>
      </c>
      <c r="K134" s="1">
        <v>123.4</v>
      </c>
      <c r="L134" s="1"/>
      <c r="M134" s="1"/>
      <c r="N134" s="1">
        <f t="shared" si="12"/>
        <v>-0.55470000000000008</v>
      </c>
      <c r="O134" s="1">
        <f t="shared" si="7"/>
        <v>-1.3867500000000001</v>
      </c>
      <c r="P134" s="1">
        <f>I134*N134</f>
        <v>307.69209000000006</v>
      </c>
      <c r="Q134" s="1">
        <f>(P134*10^-6)/D_Calculation_electrode_area!$H$21</f>
        <v>8.5034048347949379E-2</v>
      </c>
      <c r="R134" s="1">
        <f t="shared" si="11"/>
        <v>7.6923022500000006E-4</v>
      </c>
      <c r="S134" s="43">
        <f>10^-G134</f>
        <v>7.0307231988383251E-8</v>
      </c>
      <c r="T134" s="43"/>
      <c r="U134" s="1"/>
      <c r="V134" s="163"/>
      <c r="W134" s="170">
        <f>V134*$Z$5*10^3</f>
        <v>0</v>
      </c>
    </row>
    <row r="135" spans="1:23">
      <c r="A135" s="5" t="s">
        <v>43</v>
      </c>
      <c r="B135" s="55" t="s">
        <v>52</v>
      </c>
      <c r="C135" s="44">
        <v>18</v>
      </c>
      <c r="D135" s="33">
        <v>5.13</v>
      </c>
      <c r="E135" s="33">
        <v>20.7</v>
      </c>
      <c r="F135" s="33">
        <v>20.399999999999999</v>
      </c>
      <c r="G135" s="33">
        <v>7.1360000000000001</v>
      </c>
      <c r="H135" s="33">
        <v>7.7309999999999999</v>
      </c>
      <c r="I135" s="33">
        <v>-562.20000000000005</v>
      </c>
      <c r="J135" s="33">
        <v>-399.2</v>
      </c>
      <c r="K135" s="1">
        <v>190.2</v>
      </c>
      <c r="L135" s="1"/>
      <c r="M135" s="1"/>
      <c r="N135" s="1">
        <f t="shared" si="12"/>
        <v>-0.56220000000000003</v>
      </c>
      <c r="O135" s="1">
        <f t="shared" si="7"/>
        <v>-1.4055</v>
      </c>
      <c r="P135" s="1">
        <f>I135*N135</f>
        <v>316.06884000000002</v>
      </c>
      <c r="Q135" s="1">
        <f>(P135*10^-6)/D_Calculation_electrode_area!$H$21</f>
        <v>8.7349054120436684E-2</v>
      </c>
      <c r="R135" s="1">
        <f t="shared" si="11"/>
        <v>7.9017210000000004E-4</v>
      </c>
      <c r="S135" s="43">
        <f>10^-G135</f>
        <v>7.3113908348341478E-8</v>
      </c>
      <c r="T135" s="43"/>
      <c r="U135" s="1"/>
      <c r="V135" s="163"/>
      <c r="W135" s="170">
        <f>V135*$Z$5*10^3</f>
        <v>0</v>
      </c>
    </row>
    <row r="136" spans="1:23">
      <c r="A136" s="6" t="s">
        <v>44</v>
      </c>
      <c r="B136" s="56" t="s">
        <v>52</v>
      </c>
      <c r="C136" s="68">
        <v>18</v>
      </c>
      <c r="D136" s="39">
        <v>5.07</v>
      </c>
      <c r="E136" s="39">
        <v>20.6</v>
      </c>
      <c r="F136" s="39">
        <v>20.3</v>
      </c>
      <c r="G136" s="39">
        <v>7.2080000000000002</v>
      </c>
      <c r="H136" s="39">
        <v>7.766</v>
      </c>
      <c r="I136" s="39">
        <v>-470.7</v>
      </c>
      <c r="J136" s="39">
        <v>-393.5</v>
      </c>
      <c r="K136" s="3">
        <v>74.400000000000006</v>
      </c>
      <c r="L136" s="3"/>
      <c r="M136" s="3"/>
      <c r="N136" s="3">
        <f t="shared" si="12"/>
        <v>-0.47070000000000001</v>
      </c>
      <c r="O136" s="3">
        <f t="shared" si="7"/>
        <v>-1.17675</v>
      </c>
      <c r="P136" s="3">
        <f>I136*N136</f>
        <v>221.55849000000001</v>
      </c>
      <c r="Q136" s="3">
        <f>(P136*10^-6)/D_Calculation_electrode_area!$H$21</f>
        <v>6.1230093209606581E-2</v>
      </c>
      <c r="R136" s="3">
        <f t="shared" si="11"/>
        <v>5.5389622499999998E-4</v>
      </c>
      <c r="S136" s="77">
        <f>10^-G136</f>
        <v>6.1944107507678097E-8</v>
      </c>
      <c r="T136" s="77"/>
      <c r="U136" s="3"/>
      <c r="V136" s="164"/>
      <c r="W136" s="171">
        <f>V136*$Z$5*10^3</f>
        <v>0</v>
      </c>
    </row>
    <row r="137" spans="1:23">
      <c r="A137" s="7" t="s">
        <v>23</v>
      </c>
      <c r="B137" s="175" t="s">
        <v>53</v>
      </c>
      <c r="C137" s="70">
        <v>21</v>
      </c>
      <c r="D137" s="4">
        <v>5.39</v>
      </c>
      <c r="E137" s="4">
        <v>21.2</v>
      </c>
      <c r="F137" s="4">
        <v>20.5</v>
      </c>
      <c r="G137" s="4">
        <v>7.0030000000000001</v>
      </c>
      <c r="H137" s="4">
        <v>8.8019999999999996</v>
      </c>
      <c r="I137" s="4">
        <v>-157.19999999999999</v>
      </c>
      <c r="J137" s="4">
        <v>-282.7</v>
      </c>
      <c r="K137" s="4">
        <v>-124.3</v>
      </c>
      <c r="L137" s="4"/>
      <c r="M137" s="4"/>
      <c r="N137" s="4">
        <f>I137/1000</f>
        <v>-0.15719999999999998</v>
      </c>
      <c r="O137" s="4">
        <f t="shared" si="7"/>
        <v>-0.3929999999999999</v>
      </c>
      <c r="P137" s="4">
        <f>I137*N137</f>
        <v>24.711839999999995</v>
      </c>
      <c r="Q137" s="4">
        <f>(P137*10^-6)/D_Calculation_electrode_area!$H$22</f>
        <v>1.3728797240162813E-9</v>
      </c>
      <c r="R137" s="172">
        <f t="shared" si="11"/>
        <v>6.177959999999998E-5</v>
      </c>
      <c r="S137" s="167">
        <f>10^-G137</f>
        <v>9.9311604842093106E-8</v>
      </c>
      <c r="T137" s="167"/>
      <c r="U137" s="4"/>
      <c r="V137" s="165"/>
      <c r="W137" s="173">
        <f>V137*$Z$5*10^3</f>
        <v>0</v>
      </c>
    </row>
    <row r="138" spans="1:23">
      <c r="A138" s="5" t="s">
        <v>27</v>
      </c>
      <c r="B138" s="57" t="s">
        <v>53</v>
      </c>
      <c r="C138" s="44">
        <v>21</v>
      </c>
      <c r="D138" s="1">
        <v>6.33</v>
      </c>
      <c r="E138" s="1">
        <v>22.1</v>
      </c>
      <c r="F138" s="1">
        <v>20.3</v>
      </c>
      <c r="G138" s="1">
        <v>7.0869999999999997</v>
      </c>
      <c r="H138" s="1">
        <v>8.8330000000000002</v>
      </c>
      <c r="I138" s="1">
        <v>-188.9</v>
      </c>
      <c r="J138" s="1">
        <v>-121.7</v>
      </c>
      <c r="K138" s="1">
        <v>68.7</v>
      </c>
      <c r="L138" s="1"/>
      <c r="M138" s="1"/>
      <c r="N138" s="1">
        <f>I138/1000</f>
        <v>-0.18890000000000001</v>
      </c>
      <c r="O138" s="1">
        <f t="shared" si="7"/>
        <v>-0.47225</v>
      </c>
      <c r="P138" s="1">
        <f>I138*N138</f>
        <v>35.683210000000003</v>
      </c>
      <c r="Q138" s="1">
        <f>(P138*10^-6)/D_Calculation_electrode_area!$H$22</f>
        <v>1.9824001570427379E-9</v>
      </c>
      <c r="R138" s="1">
        <f t="shared" si="11"/>
        <v>8.9208024999999985E-5</v>
      </c>
      <c r="S138" s="43">
        <f>10^-G138</f>
        <v>8.1846478813478879E-8</v>
      </c>
      <c r="T138" s="43"/>
      <c r="U138" s="1"/>
      <c r="V138" s="163"/>
      <c r="W138" s="170">
        <f>V138*$Z$5*10^3</f>
        <v>0</v>
      </c>
    </row>
    <row r="139" spans="1:23">
      <c r="A139" s="5" t="s">
        <v>30</v>
      </c>
      <c r="B139" s="57" t="s">
        <v>53</v>
      </c>
      <c r="C139" s="44">
        <v>21</v>
      </c>
      <c r="D139" s="1">
        <v>6.47</v>
      </c>
      <c r="E139" s="1">
        <v>22.2</v>
      </c>
      <c r="F139" s="1">
        <v>20.2</v>
      </c>
      <c r="G139" s="1">
        <v>6.9850000000000003</v>
      </c>
      <c r="H139" s="1">
        <v>8.8160000000000007</v>
      </c>
      <c r="I139" s="1">
        <v>-164.3</v>
      </c>
      <c r="J139" s="1">
        <v>-330.2</v>
      </c>
      <c r="K139" s="1">
        <v>-165.9</v>
      </c>
      <c r="L139" s="1"/>
      <c r="M139" s="1"/>
      <c r="N139" s="1">
        <f>I139/1000</f>
        <v>-0.1643</v>
      </c>
      <c r="O139" s="1">
        <f t="shared" si="7"/>
        <v>-0.41075</v>
      </c>
      <c r="P139" s="1">
        <f>I139*N139</f>
        <v>26.994490000000003</v>
      </c>
      <c r="Q139" s="1">
        <f>(P139*10^-6)/D_Calculation_electrode_area!$H$22</f>
        <v>1.4996935874123605E-9</v>
      </c>
      <c r="R139" s="1">
        <f t="shared" si="10"/>
        <v>6.7486224999999993E-5</v>
      </c>
      <c r="S139" s="43">
        <f>10^-G139</f>
        <v>1.0351421666793431E-7</v>
      </c>
      <c r="T139" s="43"/>
      <c r="U139" s="1"/>
      <c r="V139" s="163"/>
      <c r="W139" s="170">
        <f>V139*$Z$5*10^3</f>
        <v>0</v>
      </c>
    </row>
    <row r="140" spans="1:23">
      <c r="A140" s="5" t="s">
        <v>32</v>
      </c>
      <c r="B140" s="57" t="s">
        <v>53</v>
      </c>
      <c r="C140" s="44">
        <v>21</v>
      </c>
      <c r="D140" s="1">
        <v>7.16</v>
      </c>
      <c r="E140" s="1">
        <v>21.5</v>
      </c>
      <c r="F140" s="1">
        <v>20.5</v>
      </c>
      <c r="G140" s="1">
        <v>7.48</v>
      </c>
      <c r="H140" s="1">
        <v>7.6029999999999998</v>
      </c>
      <c r="I140" s="1">
        <v>-726</v>
      </c>
      <c r="J140" s="1">
        <v>-418.1</v>
      </c>
      <c r="K140" s="1">
        <v>119.5</v>
      </c>
      <c r="L140" s="1"/>
      <c r="M140" s="1"/>
      <c r="N140" s="1">
        <f>I140/1000</f>
        <v>-0.72599999999999998</v>
      </c>
      <c r="O140" s="1">
        <f t="shared" si="7"/>
        <v>-1.8149999999999999</v>
      </c>
      <c r="P140" s="1">
        <f>I140*N140</f>
        <v>527.07600000000002</v>
      </c>
      <c r="Q140" s="1">
        <f>(P140*10^-6)/D_Calculation_electrode_area!$H$22</f>
        <v>2.9281994113574934E-8</v>
      </c>
      <c r="R140" s="1">
        <f t="shared" si="10"/>
        <v>1.3176900000000001E-3</v>
      </c>
      <c r="S140" s="43">
        <f>10^-G140</f>
        <v>3.3113112148259005E-8</v>
      </c>
      <c r="T140" s="43"/>
      <c r="U140" s="1"/>
      <c r="V140" s="163"/>
      <c r="W140" s="170">
        <f>V140*$Z$5*10^3</f>
        <v>0</v>
      </c>
    </row>
    <row r="141" spans="1:23">
      <c r="A141" s="5" t="s">
        <v>34</v>
      </c>
      <c r="B141" s="57" t="s">
        <v>53</v>
      </c>
      <c r="C141" s="44">
        <v>21</v>
      </c>
      <c r="D141" s="1">
        <v>7.36</v>
      </c>
      <c r="E141" s="1">
        <v>21.8</v>
      </c>
      <c r="F141" s="1">
        <v>20.6</v>
      </c>
      <c r="G141" s="1">
        <v>7.6180000000000003</v>
      </c>
      <c r="H141" s="1">
        <v>7.6109999999999998</v>
      </c>
      <c r="I141" s="1">
        <v>-769</v>
      </c>
      <c r="J141" s="1">
        <v>-432.7</v>
      </c>
      <c r="K141" s="1">
        <v>337.6</v>
      </c>
      <c r="L141" s="1"/>
      <c r="M141" s="1"/>
      <c r="N141" s="1">
        <f>I141/1000</f>
        <v>-0.76900000000000002</v>
      </c>
      <c r="O141" s="1">
        <f t="shared" si="7"/>
        <v>-1.9224999999999999</v>
      </c>
      <c r="P141" s="1">
        <f>I141*N141</f>
        <v>591.36099999999999</v>
      </c>
      <c r="Q141" s="1">
        <f>(P141*10^-6)/D_Calculation_electrode_area!$H$22</f>
        <v>3.2853382284524024E-8</v>
      </c>
      <c r="R141" s="1">
        <f t="shared" si="10"/>
        <v>1.4784024999999999E-3</v>
      </c>
      <c r="S141" s="43">
        <f>10^-G141</f>
        <v>2.4099054286865853E-8</v>
      </c>
      <c r="T141" s="43"/>
      <c r="U141" s="1"/>
      <c r="V141" s="163"/>
      <c r="W141" s="170">
        <f>V141*$Z$5*10^3</f>
        <v>0</v>
      </c>
    </row>
    <row r="142" spans="1:23">
      <c r="A142" s="5" t="s">
        <v>35</v>
      </c>
      <c r="B142" s="57" t="s">
        <v>53</v>
      </c>
      <c r="C142" s="44">
        <v>21</v>
      </c>
      <c r="D142" s="1">
        <v>7.43</v>
      </c>
      <c r="E142" s="1">
        <v>21.8</v>
      </c>
      <c r="F142" s="1">
        <v>20.399999999999999</v>
      </c>
      <c r="G142" s="1">
        <v>7.5759999999999996</v>
      </c>
      <c r="H142" s="1">
        <v>7.6230000000000002</v>
      </c>
      <c r="I142" s="1">
        <v>-730</v>
      </c>
      <c r="J142" s="1">
        <v>-399.9</v>
      </c>
      <c r="K142" s="1">
        <v>332.4</v>
      </c>
      <c r="L142" s="1"/>
      <c r="M142" s="1"/>
      <c r="N142" s="1">
        <f>I142/1000</f>
        <v>-0.73</v>
      </c>
      <c r="O142" s="1">
        <f t="shared" si="7"/>
        <v>-1.825</v>
      </c>
      <c r="P142" s="1">
        <f>I142*N142</f>
        <v>532.9</v>
      </c>
      <c r="Q142" s="1">
        <f>(P142*10^-6)/D_Calculation_electrode_area!$H$22</f>
        <v>2.9605549604087611E-8</v>
      </c>
      <c r="R142" s="1">
        <f t="shared" si="10"/>
        <v>1.3322499999999999E-3</v>
      </c>
      <c r="S142" s="43">
        <f>10^-G142</f>
        <v>2.6546055619755408E-8</v>
      </c>
      <c r="T142" s="43"/>
      <c r="U142" s="1"/>
      <c r="V142" s="163"/>
      <c r="W142" s="170">
        <f>V142*$Z$5*10^3</f>
        <v>0</v>
      </c>
    </row>
    <row r="143" spans="1:23">
      <c r="A143" s="5" t="s">
        <v>36</v>
      </c>
      <c r="B143" s="57" t="s">
        <v>53</v>
      </c>
      <c r="C143" s="44">
        <v>21</v>
      </c>
      <c r="D143" s="1">
        <v>5.96</v>
      </c>
      <c r="E143" s="1">
        <v>21.5</v>
      </c>
      <c r="F143" s="1">
        <v>20.399999999999999</v>
      </c>
      <c r="G143" s="1">
        <v>6.9329999999999998</v>
      </c>
      <c r="H143" s="1">
        <v>8.641</v>
      </c>
      <c r="I143" s="1">
        <v>-140.6</v>
      </c>
      <c r="J143" s="1">
        <v>17.38</v>
      </c>
      <c r="K143" s="1">
        <v>157.6</v>
      </c>
      <c r="L143" s="1"/>
      <c r="M143" s="1"/>
      <c r="N143" s="1">
        <f>I143/1000</f>
        <v>-0.1406</v>
      </c>
      <c r="O143" s="1">
        <f t="shared" si="7"/>
        <v>-0.35149999999999998</v>
      </c>
      <c r="P143" s="1">
        <f>I143*N143</f>
        <v>19.768360000000001</v>
      </c>
      <c r="Q143" s="1">
        <f>(P143*10^-6)/D_Calculation_electrode_area!$H$21</f>
        <v>5.4632008252135057E-3</v>
      </c>
      <c r="R143" s="1">
        <f t="shared" si="10"/>
        <v>4.9420899999999993E-5</v>
      </c>
      <c r="S143" s="43">
        <f>10^-G143</f>
        <v>1.1668096170609606E-7</v>
      </c>
      <c r="T143" s="43"/>
      <c r="U143" s="1"/>
      <c r="V143" s="163"/>
      <c r="W143" s="170">
        <f>V143*$Z$5*10^3</f>
        <v>0</v>
      </c>
    </row>
    <row r="144" spans="1:23">
      <c r="A144" s="5" t="s">
        <v>37</v>
      </c>
      <c r="B144" s="57" t="s">
        <v>53</v>
      </c>
      <c r="C144" s="44">
        <v>21</v>
      </c>
      <c r="D144" s="1">
        <v>5.92</v>
      </c>
      <c r="E144" s="1">
        <v>22</v>
      </c>
      <c r="F144" s="1">
        <v>20.399999999999999</v>
      </c>
      <c r="G144" s="1">
        <v>7.1680000000000001</v>
      </c>
      <c r="H144" s="1">
        <v>8.26</v>
      </c>
      <c r="I144" s="1">
        <v>-34.26</v>
      </c>
      <c r="J144" s="1">
        <v>37.770000000000003</v>
      </c>
      <c r="K144" s="1">
        <v>72.400000000000006</v>
      </c>
      <c r="L144" s="1"/>
      <c r="M144" s="1"/>
      <c r="N144" s="1">
        <f>I144/1000</f>
        <v>-3.4259999999999999E-2</v>
      </c>
      <c r="O144" s="1">
        <f t="shared" si="7"/>
        <v>-8.564999999999999E-2</v>
      </c>
      <c r="P144" s="1">
        <f>I144*N144</f>
        <v>1.1737475999999998</v>
      </c>
      <c r="Q144" s="1">
        <f>(P144*10^-6)/D_Calculation_electrode_area!$H$21</f>
        <v>3.2437788753909635E-4</v>
      </c>
      <c r="R144" s="1">
        <f t="shared" si="10"/>
        <v>2.9343689999999992E-6</v>
      </c>
      <c r="S144" s="43">
        <f>10^-G144</f>
        <v>6.7920363261718379E-8</v>
      </c>
      <c r="T144" s="43"/>
      <c r="U144" s="1"/>
      <c r="V144" s="163"/>
      <c r="W144" s="170">
        <f>V144*$Z$5*10^3</f>
        <v>0</v>
      </c>
    </row>
    <row r="145" spans="1:23">
      <c r="A145" s="5" t="s">
        <v>38</v>
      </c>
      <c r="B145" s="57" t="s">
        <v>53</v>
      </c>
      <c r="C145" s="44">
        <v>21</v>
      </c>
      <c r="D145" s="1">
        <v>6.71</v>
      </c>
      <c r="E145" s="1">
        <v>21.3</v>
      </c>
      <c r="F145" s="1">
        <v>20.399999999999999</v>
      </c>
      <c r="G145" s="1">
        <v>7.1719999999999997</v>
      </c>
      <c r="H145" s="1">
        <v>8.4109999999999996</v>
      </c>
      <c r="I145" s="1">
        <v>-59.18</v>
      </c>
      <c r="J145" s="1">
        <v>102.1</v>
      </c>
      <c r="K145" s="1">
        <v>160.69999999999999</v>
      </c>
      <c r="L145" s="1"/>
      <c r="M145" s="1"/>
      <c r="N145" s="1">
        <f>I145/1000</f>
        <v>-5.9179999999999996E-2</v>
      </c>
      <c r="O145" s="1">
        <f t="shared" si="7"/>
        <v>-0.14794999999999997</v>
      </c>
      <c r="P145" s="1">
        <f>I145*N145</f>
        <v>3.5022723999999998</v>
      </c>
      <c r="Q145" s="1">
        <f>(P145*10^-6)/D_Calculation_electrode_area!$H$21</f>
        <v>9.6789098669806115E-4</v>
      </c>
      <c r="R145" s="1">
        <f t="shared" si="10"/>
        <v>8.7556809999999996E-6</v>
      </c>
      <c r="S145" s="43">
        <f>10^-G145</f>
        <v>6.7297665628431744E-8</v>
      </c>
      <c r="T145" s="43"/>
      <c r="U145" s="1"/>
      <c r="V145" s="163"/>
      <c r="W145" s="170">
        <f>V145*$Z$5*10^3</f>
        <v>0</v>
      </c>
    </row>
    <row r="146" spans="1:23">
      <c r="A146" s="5" t="s">
        <v>39</v>
      </c>
      <c r="B146" s="57" t="s">
        <v>53</v>
      </c>
      <c r="C146" s="44">
        <v>21</v>
      </c>
      <c r="D146" s="1">
        <v>5.76</v>
      </c>
      <c r="E146" s="1">
        <v>22.7</v>
      </c>
      <c r="F146" s="1">
        <v>20.6</v>
      </c>
      <c r="G146" s="1">
        <v>7.5190000000000001</v>
      </c>
      <c r="H146" s="1">
        <v>7.4950000000000001</v>
      </c>
      <c r="I146" s="1"/>
      <c r="J146" s="1"/>
      <c r="K146" s="1"/>
      <c r="L146" s="1"/>
      <c r="M146" s="1"/>
      <c r="N146" s="1"/>
      <c r="O146" s="1"/>
      <c r="P146" s="1"/>
      <c r="Q146" s="1"/>
      <c r="R146" s="172"/>
      <c r="S146" s="43">
        <f>10^-G146</f>
        <v>3.0269134281012995E-8</v>
      </c>
      <c r="T146" s="43"/>
      <c r="U146" s="1"/>
      <c r="V146" s="163"/>
      <c r="W146" s="170">
        <f>V146*$Z$5*10^3</f>
        <v>0</v>
      </c>
    </row>
    <row r="147" spans="1:23">
      <c r="A147" s="5" t="s">
        <v>40</v>
      </c>
      <c r="B147" s="57" t="s">
        <v>53</v>
      </c>
      <c r="C147" s="44">
        <v>21</v>
      </c>
      <c r="D147" s="1">
        <v>5.78</v>
      </c>
      <c r="E147" s="1">
        <v>22.7</v>
      </c>
      <c r="F147" s="1">
        <v>20.6</v>
      </c>
      <c r="G147" s="1">
        <v>7.4889999999999999</v>
      </c>
      <c r="H147" s="1">
        <v>7.48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43">
        <f>10^-G147</f>
        <v>3.2433961734934849E-8</v>
      </c>
      <c r="T147" s="43"/>
      <c r="U147" s="1"/>
      <c r="V147" s="163"/>
      <c r="W147" s="170">
        <f>V147*$Z$5*10^3</f>
        <v>0</v>
      </c>
    </row>
    <row r="148" spans="1:23">
      <c r="A148" s="5" t="s">
        <v>41</v>
      </c>
      <c r="B148" s="57" t="s">
        <v>53</v>
      </c>
      <c r="C148" s="44">
        <v>21</v>
      </c>
      <c r="D148" s="1">
        <v>6.21</v>
      </c>
      <c r="E148" s="1">
        <v>21.7</v>
      </c>
      <c r="F148" s="1">
        <v>20.5</v>
      </c>
      <c r="G148" s="1">
        <v>7.3879999999999999</v>
      </c>
      <c r="H148" s="1">
        <v>7.74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43">
        <f>10^-G148</f>
        <v>4.0926065973000977E-8</v>
      </c>
      <c r="T148" s="43"/>
      <c r="U148" s="1"/>
      <c r="V148" s="163"/>
      <c r="W148" s="170">
        <f>V148*$Z$5*10^3</f>
        <v>0</v>
      </c>
    </row>
    <row r="149" spans="1:23">
      <c r="A149" s="5" t="s">
        <v>42</v>
      </c>
      <c r="B149" s="57" t="s">
        <v>53</v>
      </c>
      <c r="C149" s="44">
        <v>21</v>
      </c>
      <c r="D149" s="1">
        <v>7.06</v>
      </c>
      <c r="E149" s="1">
        <v>21</v>
      </c>
      <c r="F149" s="1">
        <v>20.8</v>
      </c>
      <c r="G149" s="1">
        <v>7.3079999999999998</v>
      </c>
      <c r="H149" s="1">
        <v>7.7919999999999998</v>
      </c>
      <c r="I149" s="1">
        <v>-593.1</v>
      </c>
      <c r="J149" s="1">
        <v>-395.3</v>
      </c>
      <c r="K149" s="1">
        <v>219.8</v>
      </c>
      <c r="L149" s="1"/>
      <c r="M149" s="1"/>
      <c r="N149" s="1">
        <f>I149/1000</f>
        <v>-0.59310000000000007</v>
      </c>
      <c r="O149" s="1">
        <f t="shared" si="7"/>
        <v>-1.48275</v>
      </c>
      <c r="P149" s="1">
        <f>I149*N149</f>
        <v>351.76761000000005</v>
      </c>
      <c r="Q149" s="1">
        <f>(P149*10^-6)/D_Calculation_electrode_area!$H$21</f>
        <v>9.7214796636412068E-2</v>
      </c>
      <c r="R149" s="1">
        <f t="shared" si="11"/>
        <v>8.79419025E-4</v>
      </c>
      <c r="S149" s="43">
        <f>10^-G149</f>
        <v>4.9203953568145096E-8</v>
      </c>
      <c r="T149" s="43"/>
      <c r="U149" s="1"/>
      <c r="V149" s="163"/>
      <c r="W149" s="170">
        <f>V149*$Z$5*10^3</f>
        <v>0</v>
      </c>
    </row>
    <row r="150" spans="1:23">
      <c r="A150" s="5" t="s">
        <v>43</v>
      </c>
      <c r="B150" s="57" t="s">
        <v>53</v>
      </c>
      <c r="C150" s="44">
        <v>21</v>
      </c>
      <c r="D150" s="1">
        <v>7.01</v>
      </c>
      <c r="E150" s="1">
        <v>20.7</v>
      </c>
      <c r="F150" s="1">
        <v>20.9</v>
      </c>
      <c r="G150" s="1">
        <v>7.2969999999999997</v>
      </c>
      <c r="H150" s="1">
        <v>7.7640000000000002</v>
      </c>
      <c r="I150" s="1">
        <v>-624.29999999999995</v>
      </c>
      <c r="J150" s="1">
        <v>-402.1</v>
      </c>
      <c r="K150" s="1">
        <v>226.8</v>
      </c>
      <c r="L150" s="1"/>
      <c r="M150" s="1"/>
      <c r="N150" s="1">
        <f>I150/1000</f>
        <v>-0.62429999999999997</v>
      </c>
      <c r="O150" s="1">
        <f t="shared" si="7"/>
        <v>-1.5607499999999999</v>
      </c>
      <c r="P150" s="1">
        <f>I150*N150</f>
        <v>389.75048999999996</v>
      </c>
      <c r="Q150" s="1">
        <f>(P150*10^-6)/D_Calculation_electrode_area!$H$21</f>
        <v>0.10771177773954785</v>
      </c>
      <c r="R150" s="1">
        <f t="shared" si="11"/>
        <v>9.7437622499999986E-4</v>
      </c>
      <c r="S150" s="43">
        <f>10^-G150</f>
        <v>5.0466129756352877E-8</v>
      </c>
      <c r="T150" s="43"/>
      <c r="U150" s="1"/>
      <c r="V150" s="163"/>
      <c r="W150" s="170">
        <f>V150*$Z$5*10^3</f>
        <v>0</v>
      </c>
    </row>
    <row r="151" spans="1:23">
      <c r="A151" s="34" t="s">
        <v>44</v>
      </c>
      <c r="B151" s="58" t="s">
        <v>53</v>
      </c>
      <c r="C151" s="66">
        <v>21</v>
      </c>
      <c r="D151" s="2">
        <v>7.21</v>
      </c>
      <c r="E151" s="2">
        <v>20.7</v>
      </c>
      <c r="F151" s="2">
        <v>20.9</v>
      </c>
      <c r="G151" s="2">
        <v>7.3280000000000003</v>
      </c>
      <c r="H151" s="2">
        <v>7.8230000000000004</v>
      </c>
      <c r="I151" s="2">
        <v>-538.6</v>
      </c>
      <c r="J151" s="2">
        <v>-428.5</v>
      </c>
      <c r="K151" s="2">
        <v>121</v>
      </c>
      <c r="L151" s="2"/>
      <c r="M151" s="2"/>
      <c r="N151" s="2">
        <f>I151/1000</f>
        <v>-0.53859999999999997</v>
      </c>
      <c r="O151" s="2">
        <f t="shared" si="7"/>
        <v>-1.3464999999999998</v>
      </c>
      <c r="P151" s="2">
        <f>I151*N151</f>
        <v>290.08996000000002</v>
      </c>
      <c r="Q151" s="2">
        <f>(P151*10^-6)/D_Calculation_electrode_area!$H$21</f>
        <v>8.016950869258517E-2</v>
      </c>
      <c r="R151" s="2">
        <f t="shared" si="11"/>
        <v>7.2522489999999999E-4</v>
      </c>
      <c r="S151" s="78">
        <f>10^-G151</f>
        <v>4.6989410860521388E-8</v>
      </c>
      <c r="T151" s="78"/>
      <c r="U151" s="2"/>
      <c r="V151" s="166"/>
      <c r="W151" s="174">
        <f>V151*$Z$5*10^3</f>
        <v>0</v>
      </c>
    </row>
    <row r="152" spans="1:23">
      <c r="A152" s="35" t="s">
        <v>23</v>
      </c>
      <c r="B152" s="59" t="s">
        <v>54</v>
      </c>
      <c r="C152" s="67">
        <v>23</v>
      </c>
      <c r="D152" s="12">
        <v>5.5</v>
      </c>
      <c r="E152" s="12">
        <v>21.5</v>
      </c>
      <c r="F152" s="12">
        <v>20</v>
      </c>
      <c r="G152" s="12">
        <v>7.0019999999999998</v>
      </c>
      <c r="H152" s="12">
        <v>8.827</v>
      </c>
      <c r="I152" s="12">
        <v>-116.2</v>
      </c>
      <c r="J152" s="12">
        <v>-332.4</v>
      </c>
      <c r="K152" s="12">
        <v>-215.2</v>
      </c>
      <c r="L152" s="12">
        <f>0.122*8</f>
        <v>0.97599999999999998</v>
      </c>
      <c r="M152" s="12">
        <f>84.2*5</f>
        <v>421</v>
      </c>
      <c r="N152" s="12">
        <f>I152/1000</f>
        <v>-0.1162</v>
      </c>
      <c r="O152" s="12">
        <f t="shared" si="7"/>
        <v>-0.29049999999999998</v>
      </c>
      <c r="P152" s="12">
        <f>I152*N152</f>
        <v>13.50244</v>
      </c>
      <c r="Q152" s="12">
        <f>(P152*10^-6)/D_Calculation_electrode_area!$H$22</f>
        <v>7.5013540475927324E-10</v>
      </c>
      <c r="R152" s="168">
        <f t="shared" si="11"/>
        <v>3.3756099999999993E-5</v>
      </c>
      <c r="S152" s="63">
        <f>10^-G152</f>
        <v>9.9540541735152502E-8</v>
      </c>
      <c r="T152" s="63">
        <f>(M152*10^-3/$Z$4)</f>
        <v>4.3825588730681863E-3</v>
      </c>
      <c r="U152" s="12">
        <f>(L152*10^-3/$Z$3)</f>
        <v>2.8637758179953099E-5</v>
      </c>
      <c r="V152" s="162">
        <f t="shared" ref="V146:V209" si="13">T152+U152</f>
        <v>4.4111966312481397E-3</v>
      </c>
      <c r="W152" s="169">
        <f>V152*$Z$5*10^3</f>
        <v>141.44501998097158</v>
      </c>
    </row>
    <row r="153" spans="1:23">
      <c r="A153" s="5" t="s">
        <v>27</v>
      </c>
      <c r="B153" s="57" t="s">
        <v>54</v>
      </c>
      <c r="C153" s="44">
        <v>23</v>
      </c>
      <c r="D153" s="1">
        <v>5.23</v>
      </c>
      <c r="E153" s="1">
        <v>22.2</v>
      </c>
      <c r="F153" s="1">
        <v>19.8</v>
      </c>
      <c r="G153" s="1">
        <v>7.0819999999999999</v>
      </c>
      <c r="H153" s="1">
        <v>9.0419999999999998</v>
      </c>
      <c r="I153" s="1">
        <v>-194.4</v>
      </c>
      <c r="J153" s="1">
        <v>-205.5</v>
      </c>
      <c r="K153" s="1">
        <v>-9.6</v>
      </c>
      <c r="L153" s="1">
        <f>0.258*10</f>
        <v>2.58</v>
      </c>
      <c r="M153" s="1">
        <f>82.9*5</f>
        <v>414.5</v>
      </c>
      <c r="N153" s="1">
        <f>I153/1000</f>
        <v>-0.19440000000000002</v>
      </c>
      <c r="O153" s="1">
        <f t="shared" si="7"/>
        <v>-0.48600000000000004</v>
      </c>
      <c r="P153" s="1">
        <f>I153*N153</f>
        <v>37.791360000000005</v>
      </c>
      <c r="Q153" s="1">
        <f>(P153*10^-6)/D_Calculation_electrode_area!$H$22</f>
        <v>2.0995195779432022E-9</v>
      </c>
      <c r="R153" s="1">
        <f t="shared" si="11"/>
        <v>9.44784E-5</v>
      </c>
      <c r="S153" s="43">
        <f>10^-G153</f>
        <v>8.2794216371233321E-8</v>
      </c>
      <c r="T153" s="43">
        <f>(M153*10^-3/$Z$4)</f>
        <v>4.3148946624388682E-3</v>
      </c>
      <c r="U153" s="1">
        <f>(L153*10^-3/$Z$3)</f>
        <v>7.5702270598646519E-5</v>
      </c>
      <c r="V153" s="163">
        <f t="shared" si="13"/>
        <v>4.3905969330375145E-3</v>
      </c>
      <c r="W153" s="170">
        <f>V153*$Z$5*10^3</f>
        <v>140.7844906578479</v>
      </c>
    </row>
    <row r="154" spans="1:23">
      <c r="A154" s="5" t="s">
        <v>30</v>
      </c>
      <c r="B154" s="57" t="s">
        <v>54</v>
      </c>
      <c r="C154" s="44">
        <v>23</v>
      </c>
      <c r="D154" s="1">
        <v>5.26</v>
      </c>
      <c r="E154" s="1">
        <v>22.3</v>
      </c>
      <c r="F154" s="1">
        <v>19.8</v>
      </c>
      <c r="G154" s="1">
        <v>6.9640000000000004</v>
      </c>
      <c r="H154" s="1">
        <v>8.9600000000000009</v>
      </c>
      <c r="I154" s="1">
        <v>-168.2</v>
      </c>
      <c r="J154" s="1">
        <v>-332.2</v>
      </c>
      <c r="K154" s="1">
        <v>-164.3</v>
      </c>
      <c r="L154" s="1">
        <f>0.168*8</f>
        <v>1.3440000000000001</v>
      </c>
      <c r="M154" s="1">
        <f>80.3*5</f>
        <v>401.5</v>
      </c>
      <c r="N154" s="1">
        <f>I154/1000</f>
        <v>-0.16819999999999999</v>
      </c>
      <c r="O154" s="1">
        <f t="shared" si="7"/>
        <v>-0.42049999999999993</v>
      </c>
      <c r="P154" s="1">
        <f>I154*N154</f>
        <v>28.291239999999995</v>
      </c>
      <c r="Q154" s="1">
        <f>(P154*10^-6)/D_Calculation_electrode_area!$H$22</f>
        <v>1.5717352395968238E-9</v>
      </c>
      <c r="R154" s="1">
        <f t="shared" si="10"/>
        <v>7.0728099999999984E-5</v>
      </c>
      <c r="S154" s="43">
        <f>10^-G154</f>
        <v>1.0864256236170614E-7</v>
      </c>
      <c r="T154" s="43">
        <f>(M154*10^-3/$Z$4)</f>
        <v>4.1795662411802303E-3</v>
      </c>
      <c r="U154" s="1">
        <f>(L154*10^-3/$Z$3)</f>
        <v>3.9435601428132141E-5</v>
      </c>
      <c r="V154" s="163">
        <f t="shared" si="13"/>
        <v>4.2190018426083624E-3</v>
      </c>
      <c r="W154" s="170">
        <f>V154*$Z$5*10^3</f>
        <v>135.28229408323713</v>
      </c>
    </row>
    <row r="155" spans="1:23">
      <c r="A155" s="5" t="s">
        <v>32</v>
      </c>
      <c r="B155" s="57" t="s">
        <v>54</v>
      </c>
      <c r="C155" s="44">
        <v>23</v>
      </c>
      <c r="D155" s="1">
        <v>6.52</v>
      </c>
      <c r="E155" s="1">
        <v>21.9</v>
      </c>
      <c r="F155" s="1">
        <v>20.100000000000001</v>
      </c>
      <c r="G155" s="1">
        <v>7.484</v>
      </c>
      <c r="H155" s="1">
        <v>7.6429999999999998</v>
      </c>
      <c r="I155" s="1">
        <v>-773</v>
      </c>
      <c r="J155" s="1">
        <v>-410.1</v>
      </c>
      <c r="K155" s="1">
        <v>352.7</v>
      </c>
      <c r="L155" s="1">
        <f>0.578*10</f>
        <v>5.7799999999999994</v>
      </c>
      <c r="M155" s="1">
        <f>68.3*5</f>
        <v>341.5</v>
      </c>
      <c r="N155" s="1">
        <f>I155/1000</f>
        <v>-0.77300000000000002</v>
      </c>
      <c r="O155" s="1">
        <f t="shared" si="7"/>
        <v>-1.9324999999999999</v>
      </c>
      <c r="P155" s="1">
        <f>I155*N155</f>
        <v>597.529</v>
      </c>
      <c r="Q155" s="1">
        <f>(P155*10^-6)/D_Calculation_electrode_area!$H$22</f>
        <v>3.3196048882305997E-8</v>
      </c>
      <c r="R155" s="1">
        <f t="shared" si="10"/>
        <v>1.4938224999999999E-3</v>
      </c>
      <c r="S155" s="43">
        <f>10^-G155</f>
        <v>3.2809529311311825E-8</v>
      </c>
      <c r="T155" s="43">
        <f>(M155*10^-3/$Z$4)</f>
        <v>3.5549735276788263E-3</v>
      </c>
      <c r="U155" s="1">
        <f>(L155*10^-3/$Z$3)</f>
        <v>1.6959655971324683E-4</v>
      </c>
      <c r="V155" s="163">
        <f t="shared" si="13"/>
        <v>3.7245700873920731E-3</v>
      </c>
      <c r="W155" s="170">
        <f>V155*$Z$5*10^3</f>
        <v>119.42833985222681</v>
      </c>
    </row>
    <row r="156" spans="1:23">
      <c r="A156" s="5" t="s">
        <v>34</v>
      </c>
      <c r="B156" s="57" t="s">
        <v>54</v>
      </c>
      <c r="C156" s="44">
        <v>23</v>
      </c>
      <c r="D156" s="1">
        <v>6.61</v>
      </c>
      <c r="E156" s="1">
        <v>22</v>
      </c>
      <c r="F156" s="1">
        <v>20.2</v>
      </c>
      <c r="G156" s="1">
        <v>7.6189999999999998</v>
      </c>
      <c r="H156" s="1">
        <v>7.4139999999999997</v>
      </c>
      <c r="I156" s="1">
        <v>-724</v>
      </c>
      <c r="J156" s="1">
        <v>-387.7</v>
      </c>
      <c r="K156" s="1">
        <v>325.39999999999998</v>
      </c>
      <c r="L156" s="1">
        <f>1.08*10</f>
        <v>10.8</v>
      </c>
      <c r="M156" s="1">
        <f>61.6*5</f>
        <v>308</v>
      </c>
      <c r="N156" s="1">
        <f>I156/1000</f>
        <v>-0.72399999999999998</v>
      </c>
      <c r="O156" s="1">
        <f t="shared" si="7"/>
        <v>-1.8099999999999998</v>
      </c>
      <c r="P156" s="1">
        <f>I156*N156</f>
        <v>524.17599999999993</v>
      </c>
      <c r="Q156" s="1">
        <f>(P156*10^-6)/D_Calculation_electrode_area!$H$22</f>
        <v>2.9120883034851236E-8</v>
      </c>
      <c r="R156" s="1">
        <f t="shared" si="10"/>
        <v>1.3104399999999997E-3</v>
      </c>
      <c r="S156" s="43">
        <f>10^-G156</f>
        <v>2.4043628000069308E-8</v>
      </c>
      <c r="T156" s="43">
        <f>(M156*10^-3/$Z$4)</f>
        <v>3.2062425959738751E-3</v>
      </c>
      <c r="U156" s="1">
        <f>(L156*10^-3/$Z$3)</f>
        <v>3.1689322576177614E-4</v>
      </c>
      <c r="V156" s="163">
        <f t="shared" si="13"/>
        <v>3.523135821735651E-3</v>
      </c>
      <c r="W156" s="170">
        <f>V156*$Z$5*10^3</f>
        <v>112.96935012395365</v>
      </c>
    </row>
    <row r="157" spans="1:23">
      <c r="A157" s="5" t="s">
        <v>35</v>
      </c>
      <c r="B157" s="57" t="s">
        <v>54</v>
      </c>
      <c r="C157" s="44">
        <v>23</v>
      </c>
      <c r="D157" s="1">
        <v>5.52</v>
      </c>
      <c r="E157" s="1">
        <v>21.7</v>
      </c>
      <c r="F157" s="1">
        <v>20.2</v>
      </c>
      <c r="G157" s="1">
        <v>7.5650000000000004</v>
      </c>
      <c r="H157" s="1">
        <v>7.702</v>
      </c>
      <c r="I157" s="1">
        <v>-742</v>
      </c>
      <c r="J157" s="1">
        <v>-387.5</v>
      </c>
      <c r="K157" s="1">
        <v>347.8</v>
      </c>
      <c r="L157" s="1">
        <f>0.415*10</f>
        <v>4.1499999999999995</v>
      </c>
      <c r="M157" s="1">
        <f>76.1*5</f>
        <v>380.5</v>
      </c>
      <c r="N157" s="1">
        <f>I157/1000</f>
        <v>-0.74199999999999999</v>
      </c>
      <c r="O157" s="1">
        <f t="shared" si="7"/>
        <v>-1.855</v>
      </c>
      <c r="P157" s="1">
        <f>I157*N157</f>
        <v>550.56399999999996</v>
      </c>
      <c r="Q157" s="1">
        <f>(P157*10^-6)/D_Calculation_electrode_area!$H$22</f>
        <v>3.0586882740148033E-8</v>
      </c>
      <c r="R157" s="1">
        <f t="shared" si="10"/>
        <v>1.3764099999999998E-3</v>
      </c>
      <c r="S157" s="43">
        <f>10^-G157</f>
        <v>2.7227013080779058E-8</v>
      </c>
      <c r="T157" s="43">
        <f>(M157*10^-3/$Z$4)</f>
        <v>3.9609587914547391E-3</v>
      </c>
      <c r="U157" s="1">
        <f>(L157*10^-3/$Z$3)</f>
        <v>1.2176915619549727E-4</v>
      </c>
      <c r="V157" s="163">
        <f t="shared" si="13"/>
        <v>4.0827279476502365E-3</v>
      </c>
      <c r="W157" s="170">
        <f>V157*$Z$5*10^3</f>
        <v>130.91267164140481</v>
      </c>
    </row>
    <row r="158" spans="1:23">
      <c r="A158" s="5" t="s">
        <v>36</v>
      </c>
      <c r="B158" s="57" t="s">
        <v>54</v>
      </c>
      <c r="C158" s="44">
        <v>23</v>
      </c>
      <c r="D158" s="1">
        <v>5.12</v>
      </c>
      <c r="E158" s="1">
        <v>21.7</v>
      </c>
      <c r="F158" s="1">
        <v>19.899999999999999</v>
      </c>
      <c r="G158" s="1">
        <v>6.8769999999999998</v>
      </c>
      <c r="H158" s="1">
        <v>8.7170000000000005</v>
      </c>
      <c r="I158" s="1">
        <v>-145</v>
      </c>
      <c r="J158" s="1">
        <v>9.9</v>
      </c>
      <c r="K158" s="1">
        <v>154.4</v>
      </c>
      <c r="L158" s="1">
        <f>0.568*10</f>
        <v>5.68</v>
      </c>
      <c r="M158" s="1">
        <f>108*5</f>
        <v>540</v>
      </c>
      <c r="N158" s="1">
        <f>I158/1000</f>
        <v>-0.14499999999999999</v>
      </c>
      <c r="O158" s="1">
        <f t="shared" si="7"/>
        <v>-0.36249999999999993</v>
      </c>
      <c r="P158" s="1">
        <f>I158*N158</f>
        <v>21.024999999999999</v>
      </c>
      <c r="Q158" s="1">
        <f>(P158*10^-6)/D_Calculation_electrode_area!$H$21</f>
        <v>5.8104869270953147E-3</v>
      </c>
      <c r="R158" s="1">
        <f t="shared" si="10"/>
        <v>5.256249999999999E-5</v>
      </c>
      <c r="S158" s="43">
        <f>10^-G158</f>
        <v>1.3273944577297377E-7</v>
      </c>
      <c r="T158" s="43">
        <f>(M158*10^-3/$Z$4)</f>
        <v>5.6213344215126386E-3</v>
      </c>
      <c r="U158" s="1">
        <f>(L158*10^-3/$Z$3)</f>
        <v>1.6666236317841558E-4</v>
      </c>
      <c r="V158" s="163">
        <f t="shared" si="13"/>
        <v>5.7879967846910544E-3</v>
      </c>
      <c r="W158" s="170">
        <f>V158*$Z$5*10^3</f>
        <v>185.59211690111866</v>
      </c>
    </row>
    <row r="159" spans="1:23">
      <c r="A159" s="5" t="s">
        <v>37</v>
      </c>
      <c r="B159" s="57" t="s">
        <v>54</v>
      </c>
      <c r="C159" s="44">
        <v>23</v>
      </c>
      <c r="D159" s="1">
        <v>5.81</v>
      </c>
      <c r="E159" s="1">
        <v>21.8</v>
      </c>
      <c r="F159" s="1">
        <v>20</v>
      </c>
      <c r="G159" s="1">
        <v>7.13</v>
      </c>
      <c r="H159" s="1">
        <v>8.2249999999999996</v>
      </c>
      <c r="I159" s="1">
        <v>-50.8</v>
      </c>
      <c r="J159" s="1">
        <v>151.4</v>
      </c>
      <c r="K159" s="1">
        <v>202.8</v>
      </c>
      <c r="L159" s="1">
        <f>1.75*10</f>
        <v>17.5</v>
      </c>
      <c r="M159" s="1">
        <f>104*5</f>
        <v>520</v>
      </c>
      <c r="N159" s="1">
        <f>I159/1000</f>
        <v>-5.0799999999999998E-2</v>
      </c>
      <c r="O159" s="1">
        <f t="shared" si="7"/>
        <v>-0.12699999999999997</v>
      </c>
      <c r="P159" s="1">
        <f>I159*N159</f>
        <v>2.5806399999999998</v>
      </c>
      <c r="Q159" s="1">
        <f>(P159*10^-6)/D_Calculation_electrode_area!$H$21</f>
        <v>7.1318787079853766E-4</v>
      </c>
      <c r="R159" s="1">
        <f t="shared" si="10"/>
        <v>6.4515999999999994E-6</v>
      </c>
      <c r="S159" s="43">
        <f>10^-G159</f>
        <v>7.413102413009154E-8</v>
      </c>
      <c r="T159" s="43">
        <f>(M159*10^-3/$Z$4)</f>
        <v>5.4131368503455039E-3</v>
      </c>
      <c r="U159" s="1">
        <f>(L159*10^-3/$Z$3)</f>
        <v>5.1348439359547059E-4</v>
      </c>
      <c r="V159" s="163">
        <f t="shared" si="13"/>
        <v>5.9266212439409742E-3</v>
      </c>
      <c r="W159" s="170">
        <f>V159*$Z$5*10^3</f>
        <v>190.03711018696731</v>
      </c>
    </row>
    <row r="160" spans="1:23">
      <c r="A160" s="5" t="s">
        <v>38</v>
      </c>
      <c r="B160" s="57" t="s">
        <v>54</v>
      </c>
      <c r="C160" s="44">
        <v>23</v>
      </c>
      <c r="D160" s="1">
        <v>5.1100000000000003</v>
      </c>
      <c r="E160" s="1">
        <v>21.6</v>
      </c>
      <c r="F160" s="1">
        <v>20</v>
      </c>
      <c r="G160" s="1">
        <v>7.1719999999999997</v>
      </c>
      <c r="H160" s="1">
        <v>8.452</v>
      </c>
      <c r="I160" s="1">
        <v>-56.2</v>
      </c>
      <c r="J160" s="1">
        <v>116.5</v>
      </c>
      <c r="K160" s="1">
        <v>172.3</v>
      </c>
      <c r="L160" s="1">
        <f>1.56*20</f>
        <v>31.200000000000003</v>
      </c>
      <c r="M160" s="1">
        <f>79.2*5</f>
        <v>396</v>
      </c>
      <c r="N160" s="1">
        <f>I160/1000</f>
        <v>-5.62E-2</v>
      </c>
      <c r="O160" s="1">
        <f t="shared" si="7"/>
        <v>-0.14049999999999999</v>
      </c>
      <c r="P160" s="1">
        <f>I160*N160</f>
        <v>3.1584400000000001</v>
      </c>
      <c r="Q160" s="1">
        <f>(P160*10^-6)/D_Calculation_electrode_area!$H$21</f>
        <v>8.7286917146325469E-4</v>
      </c>
      <c r="R160" s="1">
        <f t="shared" si="10"/>
        <v>7.8960999999999988E-6</v>
      </c>
      <c r="S160" s="43">
        <f>10^-G160</f>
        <v>6.7297665628431744E-8</v>
      </c>
      <c r="T160" s="43">
        <f>(M160*10^-3/$Z$4)</f>
        <v>4.1223119091092688E-3</v>
      </c>
      <c r="U160" s="1">
        <f>(L160*10^-3/$Z$3)</f>
        <v>9.1546931886735323E-4</v>
      </c>
      <c r="V160" s="163">
        <f t="shared" si="13"/>
        <v>5.0377812279766218E-3</v>
      </c>
      <c r="W160" s="170">
        <f>V160*$Z$5*10^3</f>
        <v>161.53645507507036</v>
      </c>
    </row>
    <row r="161" spans="1:23">
      <c r="A161" s="5" t="s">
        <v>39</v>
      </c>
      <c r="B161" s="57" t="s">
        <v>54</v>
      </c>
      <c r="C161" s="44">
        <v>23</v>
      </c>
      <c r="D161" s="1">
        <v>7.15</v>
      </c>
      <c r="E161" s="1">
        <v>23</v>
      </c>
      <c r="F161" s="1">
        <v>20</v>
      </c>
      <c r="G161" s="1">
        <v>7.4189999999999996</v>
      </c>
      <c r="H161" s="1">
        <v>7.9649999999999999</v>
      </c>
      <c r="I161" s="1"/>
      <c r="J161" s="1"/>
      <c r="K161" s="1"/>
      <c r="L161" s="1">
        <f>1.17*15</f>
        <v>17.549999999999997</v>
      </c>
      <c r="M161" s="1">
        <f>89*5</f>
        <v>445</v>
      </c>
      <c r="N161" s="1"/>
      <c r="O161" s="1"/>
      <c r="P161" s="1"/>
      <c r="Q161" s="1"/>
      <c r="R161" s="172"/>
      <c r="S161" s="43">
        <f>10^-G161</f>
        <v>3.8106582339377327E-8</v>
      </c>
      <c r="T161" s="43">
        <f>(M161*10^-3/$Z$4)</f>
        <v>4.632395958468748E-3</v>
      </c>
      <c r="U161" s="1">
        <f>(L161*10^-3/$Z$3)</f>
        <v>5.1495149186288607E-4</v>
      </c>
      <c r="V161" s="163">
        <f t="shared" si="13"/>
        <v>5.147347450331634E-3</v>
      </c>
      <c r="W161" s="170">
        <f>V161*$Z$5*10^3</f>
        <v>165.04969599488385</v>
      </c>
    </row>
    <row r="162" spans="1:23">
      <c r="A162" s="5" t="s">
        <v>40</v>
      </c>
      <c r="B162" s="57" t="s">
        <v>54</v>
      </c>
      <c r="C162" s="44">
        <v>23</v>
      </c>
      <c r="D162" s="1">
        <v>7.11</v>
      </c>
      <c r="E162" s="1">
        <v>22.1</v>
      </c>
      <c r="F162" s="1">
        <v>20.100000000000001</v>
      </c>
      <c r="G162" s="1">
        <v>7.5049999999999999</v>
      </c>
      <c r="H162" s="1">
        <v>7.875</v>
      </c>
      <c r="I162" s="1"/>
      <c r="J162" s="1"/>
      <c r="K162" s="1"/>
      <c r="L162" s="1">
        <f>1.68*20</f>
        <v>33.6</v>
      </c>
      <c r="M162" s="1">
        <f>82.2*5</f>
        <v>411</v>
      </c>
      <c r="N162" s="1"/>
      <c r="O162" s="1"/>
      <c r="P162" s="1"/>
      <c r="Q162" s="1"/>
      <c r="R162" s="1"/>
      <c r="S162" s="43">
        <f>10^-G162</f>
        <v>3.1260793671239459E-8</v>
      </c>
      <c r="T162" s="43">
        <f>(M162*10^-3/$Z$4)</f>
        <v>4.2784600874846198E-3</v>
      </c>
      <c r="U162" s="1">
        <f>(L162*10^-3/$Z$3)</f>
        <v>9.8589003570330349E-4</v>
      </c>
      <c r="V162" s="163">
        <f t="shared" si="13"/>
        <v>5.2643501231879235E-3</v>
      </c>
      <c r="W162" s="170">
        <f>V162*$Z$5*10^3</f>
        <v>168.80138670002077</v>
      </c>
    </row>
    <row r="163" spans="1:23">
      <c r="A163" s="5" t="s">
        <v>41</v>
      </c>
      <c r="B163" s="57" t="s">
        <v>54</v>
      </c>
      <c r="C163" s="44">
        <v>23</v>
      </c>
      <c r="D163" s="1">
        <v>6.61</v>
      </c>
      <c r="E163" s="1">
        <v>22.1</v>
      </c>
      <c r="F163" s="1">
        <v>20.2</v>
      </c>
      <c r="G163" s="1">
        <v>7.4050000000000002</v>
      </c>
      <c r="H163" s="1">
        <v>7.9850000000000003</v>
      </c>
      <c r="I163" s="1"/>
      <c r="J163" s="1"/>
      <c r="K163" s="1"/>
      <c r="L163" s="1">
        <f>1.48*15</f>
        <v>22.2</v>
      </c>
      <c r="M163" s="1">
        <f>90.6*5</f>
        <v>453</v>
      </c>
      <c r="N163" s="1"/>
      <c r="O163" s="1"/>
      <c r="P163" s="1"/>
      <c r="Q163" s="1"/>
      <c r="R163" s="1"/>
      <c r="S163" s="43">
        <f>10^-G163</f>
        <v>3.935500754557759E-8</v>
      </c>
      <c r="T163" s="43">
        <f>(M163*10^-3/$Z$4)</f>
        <v>4.7156749869356022E-3</v>
      </c>
      <c r="U163" s="1">
        <f>(L163*10^-3/$Z$3)</f>
        <v>6.5139163073253974E-4</v>
      </c>
      <c r="V163" s="163">
        <f t="shared" si="13"/>
        <v>5.3670666176681417E-3</v>
      </c>
      <c r="W163" s="170">
        <f>V163*$Z$5*10^3</f>
        <v>172.09499109552894</v>
      </c>
    </row>
    <row r="164" spans="1:23">
      <c r="A164" s="5" t="s">
        <v>42</v>
      </c>
      <c r="B164" s="57" t="s">
        <v>54</v>
      </c>
      <c r="C164" s="44">
        <v>23</v>
      </c>
      <c r="D164" s="1">
        <v>6.96</v>
      </c>
      <c r="E164" s="1">
        <v>21.1</v>
      </c>
      <c r="F164" s="1">
        <v>20.3</v>
      </c>
      <c r="G164" s="1">
        <v>7.3150000000000004</v>
      </c>
      <c r="H164" s="1">
        <v>7.9210000000000003</v>
      </c>
      <c r="I164" s="1">
        <v>-652</v>
      </c>
      <c r="J164" s="1">
        <v>-385.7</v>
      </c>
      <c r="K164" s="1">
        <v>270.7</v>
      </c>
      <c r="L164" s="1">
        <f>0.338*15</f>
        <v>5.07</v>
      </c>
      <c r="M164" s="1">
        <f>110*5</f>
        <v>550</v>
      </c>
      <c r="N164" s="1">
        <f>I164/1000</f>
        <v>-0.65200000000000002</v>
      </c>
      <c r="O164" s="1">
        <f t="shared" ref="O164:O227" si="14">N164/0.4</f>
        <v>-1.63</v>
      </c>
      <c r="P164" s="1">
        <f>I164*N164</f>
        <v>425.10400000000004</v>
      </c>
      <c r="Q164" s="1">
        <f>(P164*10^-6)/D_Calculation_electrode_area!$H$21</f>
        <v>0.11748210390753519</v>
      </c>
      <c r="R164" s="1">
        <f t="shared" si="11"/>
        <v>1.0627600000000001E-3</v>
      </c>
      <c r="S164" s="43">
        <f>10^-G164</f>
        <v>4.8417236758409874E-8</v>
      </c>
      <c r="T164" s="43">
        <f>(M164*10^-3/$Z$4)</f>
        <v>5.7254332070962059E-3</v>
      </c>
      <c r="U164" s="1">
        <f>(L164*10^-3/$Z$3)</f>
        <v>1.4876376431594492E-4</v>
      </c>
      <c r="V164" s="163">
        <f t="shared" si="13"/>
        <v>5.8741969714121512E-3</v>
      </c>
      <c r="W164" s="170">
        <f>V164*$Z$5*10^3</f>
        <v>188.35612588833061</v>
      </c>
    </row>
    <row r="165" spans="1:23">
      <c r="A165" s="5" t="s">
        <v>43</v>
      </c>
      <c r="B165" s="57" t="s">
        <v>54</v>
      </c>
      <c r="C165" s="44">
        <v>23</v>
      </c>
      <c r="D165" s="1">
        <v>6.85</v>
      </c>
      <c r="E165" s="1">
        <v>20.8</v>
      </c>
      <c r="F165" s="1">
        <v>20.3</v>
      </c>
      <c r="G165" s="1">
        <v>7.282</v>
      </c>
      <c r="H165" s="1">
        <v>7.9050000000000002</v>
      </c>
      <c r="I165" s="1">
        <v>-630</v>
      </c>
      <c r="J165" s="1">
        <v>-400.3</v>
      </c>
      <c r="K165" s="1">
        <v>261.2</v>
      </c>
      <c r="L165" s="1">
        <f>0.242*10</f>
        <v>2.42</v>
      </c>
      <c r="M165" s="1">
        <f>112*5</f>
        <v>560</v>
      </c>
      <c r="N165" s="1">
        <f>I165/1000</f>
        <v>-0.63</v>
      </c>
      <c r="O165" s="1">
        <f t="shared" si="14"/>
        <v>-1.575</v>
      </c>
      <c r="P165" s="1">
        <f>I165*N165</f>
        <v>396.9</v>
      </c>
      <c r="Q165" s="1">
        <f>(P165*10^-6)/D_Calculation_electrode_area!$H$21</f>
        <v>0.10968762241922143</v>
      </c>
      <c r="R165" s="1">
        <f t="shared" si="11"/>
        <v>9.9224999999999986E-4</v>
      </c>
      <c r="S165" s="43">
        <f>10^-G165</f>
        <v>5.2239618899911825E-8</v>
      </c>
      <c r="T165" s="43">
        <f>(M165*10^-3/$Z$4)</f>
        <v>5.8295319926797741E-3</v>
      </c>
      <c r="U165" s="1">
        <f>(L165*10^-3/$Z$3)</f>
        <v>7.1007556142916488E-5</v>
      </c>
      <c r="V165" s="163">
        <f t="shared" si="13"/>
        <v>5.9005395488226902E-3</v>
      </c>
      <c r="W165" s="170">
        <f>V165*$Z$5*10^3</f>
        <v>189.20080063299955</v>
      </c>
    </row>
    <row r="166" spans="1:23">
      <c r="A166" s="6" t="s">
        <v>44</v>
      </c>
      <c r="B166" s="60" t="s">
        <v>54</v>
      </c>
      <c r="C166" s="68">
        <v>23</v>
      </c>
      <c r="D166" s="3">
        <v>6.72</v>
      </c>
      <c r="E166" s="3">
        <v>20</v>
      </c>
      <c r="F166" s="3">
        <v>20.2</v>
      </c>
      <c r="G166" s="3">
        <v>7.3719999999999999</v>
      </c>
      <c r="H166" s="3">
        <v>8.0109999999999992</v>
      </c>
      <c r="I166" s="3">
        <v>-654</v>
      </c>
      <c r="J166" s="3">
        <v>-431.4</v>
      </c>
      <c r="K166" s="3">
        <v>225.3</v>
      </c>
      <c r="L166" s="3">
        <f>0.392*5</f>
        <v>1.96</v>
      </c>
      <c r="M166" s="3">
        <f>112*5</f>
        <v>560</v>
      </c>
      <c r="N166" s="3">
        <f>I166/1000</f>
        <v>-0.65400000000000003</v>
      </c>
      <c r="O166" s="3">
        <f t="shared" si="14"/>
        <v>-1.635</v>
      </c>
      <c r="P166" s="3">
        <f>I166*N166</f>
        <v>427.71600000000001</v>
      </c>
      <c r="Q166" s="3">
        <f>(P166*10^-6)/D_Calculation_electrode_area!$H$21</f>
        <v>0.11820395845467301</v>
      </c>
      <c r="R166" s="3">
        <f t="shared" si="11"/>
        <v>1.0692899999999999E-3</v>
      </c>
      <c r="S166" s="77">
        <f>10^-G166</f>
        <v>4.24619563946312E-8</v>
      </c>
      <c r="T166" s="77">
        <f>(M166*10^-3/$Z$4)</f>
        <v>5.8295319926797741E-3</v>
      </c>
      <c r="U166" s="3">
        <f>(L166*10^-3/$Z$3)</f>
        <v>5.7510252082692695E-5</v>
      </c>
      <c r="V166" s="164">
        <f t="shared" si="13"/>
        <v>5.8870422447624667E-3</v>
      </c>
      <c r="W166" s="171">
        <f>V166*$Z$5*10^3</f>
        <v>188.76800957830847</v>
      </c>
    </row>
    <row r="167" spans="1:23">
      <c r="A167" s="7" t="s">
        <v>23</v>
      </c>
      <c r="B167" s="69" t="s">
        <v>55</v>
      </c>
      <c r="C167" s="70">
        <v>25</v>
      </c>
      <c r="D167" s="4">
        <v>5.79</v>
      </c>
      <c r="E167" s="4">
        <v>21.8</v>
      </c>
      <c r="F167" s="4">
        <v>19.100000000000001</v>
      </c>
      <c r="G167" s="4">
        <v>6.984</v>
      </c>
      <c r="H167" s="4">
        <v>8.9190000000000005</v>
      </c>
      <c r="I167" s="4">
        <v>-143.4</v>
      </c>
      <c r="J167" s="4">
        <v>-324.7</v>
      </c>
      <c r="K167" s="4">
        <v>-181.5</v>
      </c>
      <c r="L167" s="4"/>
      <c r="M167" s="4"/>
      <c r="N167" s="4">
        <f>I167/1000</f>
        <v>-0.1434</v>
      </c>
      <c r="O167" s="4">
        <f t="shared" si="14"/>
        <v>-0.35849999999999999</v>
      </c>
      <c r="P167" s="4">
        <f>I167*N167</f>
        <v>20.563560000000003</v>
      </c>
      <c r="Q167" s="4">
        <f>(P167*10^-6)/D_Calculation_electrode_area!$H$22</f>
        <v>1.1424197703445897E-9</v>
      </c>
      <c r="R167" s="172">
        <f t="shared" si="11"/>
        <v>5.1408900000000002E-5</v>
      </c>
      <c r="S167" s="167">
        <f>10^-G167</f>
        <v>1.0375284158180126E-7</v>
      </c>
      <c r="T167" s="167"/>
      <c r="U167" s="4"/>
      <c r="V167" s="165"/>
      <c r="W167" s="173">
        <f>V167*$Z$5*10^3</f>
        <v>0</v>
      </c>
    </row>
    <row r="168" spans="1:23">
      <c r="A168" s="5" t="s">
        <v>27</v>
      </c>
      <c r="B168" s="57" t="s">
        <v>55</v>
      </c>
      <c r="C168" s="44">
        <v>25</v>
      </c>
      <c r="D168" s="1">
        <v>5.13</v>
      </c>
      <c r="E168" s="1">
        <v>22.4</v>
      </c>
      <c r="F168" s="1">
        <v>19.2</v>
      </c>
      <c r="G168" s="1">
        <v>7.0090000000000003</v>
      </c>
      <c r="H168" s="1">
        <v>9.0579999999999998</v>
      </c>
      <c r="I168" s="1">
        <v>-170.1</v>
      </c>
      <c r="J168" s="1">
        <v>-280.3</v>
      </c>
      <c r="K168" s="1">
        <v>-110</v>
      </c>
      <c r="L168" s="1"/>
      <c r="M168" s="1"/>
      <c r="N168" s="1">
        <f>I168/1000</f>
        <v>-0.1701</v>
      </c>
      <c r="O168" s="1">
        <f t="shared" si="14"/>
        <v>-0.42524999999999996</v>
      </c>
      <c r="P168" s="1">
        <f>I168*N168</f>
        <v>28.934010000000001</v>
      </c>
      <c r="Q168" s="1">
        <f>(P168*10^-6)/D_Calculation_electrode_area!$H$22</f>
        <v>1.607444676862764E-9</v>
      </c>
      <c r="R168" s="1">
        <f t="shared" si="11"/>
        <v>7.2335024999999986E-5</v>
      </c>
      <c r="S168" s="43">
        <f>10^-G168</f>
        <v>9.7948998540869558E-8</v>
      </c>
      <c r="T168" s="43"/>
      <c r="U168" s="1"/>
      <c r="V168" s="163"/>
      <c r="W168" s="170">
        <f>V168*$Z$5*10^3</f>
        <v>0</v>
      </c>
    </row>
    <row r="169" spans="1:23">
      <c r="A169" s="5" t="s">
        <v>30</v>
      </c>
      <c r="B169" s="57" t="s">
        <v>55</v>
      </c>
      <c r="C169" s="44">
        <v>25</v>
      </c>
      <c r="D169" s="1">
        <v>5.83</v>
      </c>
      <c r="E169" s="1">
        <v>22.6</v>
      </c>
      <c r="F169" s="1">
        <v>19.2</v>
      </c>
      <c r="G169" s="1">
        <v>6.9340000000000002</v>
      </c>
      <c r="H169" s="1">
        <v>8.984</v>
      </c>
      <c r="I169" s="1">
        <v>-164.7</v>
      </c>
      <c r="J169" s="1">
        <v>-331.2</v>
      </c>
      <c r="K169" s="1">
        <v>-166.4</v>
      </c>
      <c r="L169" s="1"/>
      <c r="M169" s="1"/>
      <c r="N169" s="1">
        <f>I169/1000</f>
        <v>-0.16469999999999999</v>
      </c>
      <c r="O169" s="1">
        <f t="shared" si="14"/>
        <v>-0.41174999999999995</v>
      </c>
      <c r="P169" s="1">
        <f>I169*N169</f>
        <v>27.126089999999994</v>
      </c>
      <c r="Q169" s="1">
        <f>(P169*10^-6)/D_Calculation_electrode_area!$H$22</f>
        <v>1.5070046970537526E-9</v>
      </c>
      <c r="R169" s="1">
        <f t="shared" si="10"/>
        <v>6.7815224999999982E-5</v>
      </c>
      <c r="S169" s="43">
        <f>10^-G169</f>
        <v>1.1641260294104885E-7</v>
      </c>
      <c r="T169" s="43"/>
      <c r="U169" s="1"/>
      <c r="V169" s="163"/>
      <c r="W169" s="170">
        <f>V169*$Z$5*10^3</f>
        <v>0</v>
      </c>
    </row>
    <row r="170" spans="1:23">
      <c r="A170" s="5" t="s">
        <v>32</v>
      </c>
      <c r="B170" s="57" t="s">
        <v>55</v>
      </c>
      <c r="C170" s="44">
        <v>25</v>
      </c>
      <c r="D170" s="1">
        <v>7.11</v>
      </c>
      <c r="E170" s="1">
        <v>22.3</v>
      </c>
      <c r="F170" s="1">
        <v>19.399999999999999</v>
      </c>
      <c r="G170" s="1">
        <v>7.5209999999999999</v>
      </c>
      <c r="H170" s="1">
        <v>7.7489999999999997</v>
      </c>
      <c r="I170" s="1">
        <v>-724</v>
      </c>
      <c r="J170" s="1">
        <v>-421.2</v>
      </c>
      <c r="K170" s="1">
        <v>229.5</v>
      </c>
      <c r="L170" s="1"/>
      <c r="M170" s="1"/>
      <c r="N170" s="1">
        <f>I170/1000</f>
        <v>-0.72399999999999998</v>
      </c>
      <c r="O170" s="1">
        <f t="shared" si="14"/>
        <v>-1.8099999999999998</v>
      </c>
      <c r="P170" s="1">
        <f>I170*N170</f>
        <v>524.17599999999993</v>
      </c>
      <c r="Q170" s="1">
        <f>(P170*10^-6)/D_Calculation_electrode_area!$H$22</f>
        <v>2.9120883034851236E-8</v>
      </c>
      <c r="R170" s="1">
        <f t="shared" si="10"/>
        <v>1.3104399999999997E-3</v>
      </c>
      <c r="S170" s="43">
        <f>10^-G170</f>
        <v>3.013006024186121E-8</v>
      </c>
      <c r="T170" s="43"/>
      <c r="U170" s="1"/>
      <c r="V170" s="163"/>
      <c r="W170" s="170">
        <f>V170*$Z$5*10^3</f>
        <v>0</v>
      </c>
    </row>
    <row r="171" spans="1:23">
      <c r="A171" s="5" t="s">
        <v>34</v>
      </c>
      <c r="B171" s="57" t="s">
        <v>55</v>
      </c>
      <c r="C171" s="44">
        <v>25</v>
      </c>
      <c r="D171" s="1">
        <v>7.26</v>
      </c>
      <c r="E171" s="1">
        <v>22.2</v>
      </c>
      <c r="F171" s="1">
        <v>19.399999999999999</v>
      </c>
      <c r="G171" s="1">
        <v>7.63</v>
      </c>
      <c r="H171" s="1">
        <v>7.798</v>
      </c>
      <c r="I171" s="1">
        <v>-737</v>
      </c>
      <c r="J171" s="1">
        <v>-432.5</v>
      </c>
      <c r="K171" s="1">
        <v>248.1</v>
      </c>
      <c r="L171" s="1"/>
      <c r="M171" s="1"/>
      <c r="N171" s="1">
        <f>I171/1000</f>
        <v>-0.73699999999999999</v>
      </c>
      <c r="O171" s="1">
        <f t="shared" si="14"/>
        <v>-1.8424999999999998</v>
      </c>
      <c r="P171" s="1">
        <f>I171*N171</f>
        <v>543.16899999999998</v>
      </c>
      <c r="Q171" s="1">
        <f>(P171*10^-6)/D_Calculation_electrode_area!$H$22</f>
        <v>3.0176049489402631E-8</v>
      </c>
      <c r="R171" s="1">
        <f t="shared" si="10"/>
        <v>1.3579224999999996E-3</v>
      </c>
      <c r="S171" s="43">
        <f>10^-G171</f>
        <v>2.3442288153199181E-8</v>
      </c>
      <c r="T171" s="43"/>
      <c r="U171" s="1"/>
      <c r="V171" s="163"/>
      <c r="W171" s="170">
        <f>V171*$Z$5*10^3</f>
        <v>0</v>
      </c>
    </row>
    <row r="172" spans="1:23">
      <c r="A172" s="5" t="s">
        <v>35</v>
      </c>
      <c r="B172" s="57" t="s">
        <v>55</v>
      </c>
      <c r="C172" s="44">
        <v>25</v>
      </c>
      <c r="D172" s="1">
        <v>6.02</v>
      </c>
      <c r="E172" s="1">
        <v>21.9</v>
      </c>
      <c r="F172" s="1">
        <v>19.5</v>
      </c>
      <c r="G172" s="1">
        <v>7.6159999999999997</v>
      </c>
      <c r="H172" s="1">
        <v>7.702</v>
      </c>
      <c r="I172" s="1">
        <v>-753</v>
      </c>
      <c r="J172" s="1">
        <v>-404.3</v>
      </c>
      <c r="K172" s="1">
        <v>357.9</v>
      </c>
      <c r="L172" s="1"/>
      <c r="M172" s="1"/>
      <c r="N172" s="1">
        <f>I172/1000</f>
        <v>-0.753</v>
      </c>
      <c r="O172" s="1">
        <f t="shared" si="14"/>
        <v>-1.8824999999999998</v>
      </c>
      <c r="P172" s="1">
        <f>I172*N172</f>
        <v>567.00900000000001</v>
      </c>
      <c r="Q172" s="1">
        <f>(P172*10^-6)/D_Calculation_electrode_area!$H$22</f>
        <v>3.1500493667600134E-8</v>
      </c>
      <c r="R172" s="1">
        <f t="shared" ref="R172:R235" si="15">(P172*10^-6)/0.4</f>
        <v>1.4175224999999998E-3</v>
      </c>
      <c r="S172" s="43">
        <f>10^-G172</f>
        <v>2.4210290467361718E-8</v>
      </c>
      <c r="T172" s="43"/>
      <c r="U172" s="1"/>
      <c r="V172" s="163"/>
      <c r="W172" s="170">
        <f>V172*$Z$5*10^3</f>
        <v>0</v>
      </c>
    </row>
    <row r="173" spans="1:23">
      <c r="A173" s="5" t="s">
        <v>36</v>
      </c>
      <c r="B173" s="57" t="s">
        <v>55</v>
      </c>
      <c r="C173" s="44">
        <v>25</v>
      </c>
      <c r="D173" s="1">
        <v>5.45</v>
      </c>
      <c r="E173" s="1">
        <v>21.9</v>
      </c>
      <c r="F173" s="1">
        <v>19.100000000000001</v>
      </c>
      <c r="G173" s="1">
        <v>6.8659999999999997</v>
      </c>
      <c r="H173" s="1">
        <v>8.8859999999999992</v>
      </c>
      <c r="I173" s="1">
        <v>-141.1</v>
      </c>
      <c r="J173" s="1">
        <v>-0.49</v>
      </c>
      <c r="K173" s="1">
        <v>141.69999999999999</v>
      </c>
      <c r="L173" s="1"/>
      <c r="M173" s="1"/>
      <c r="N173" s="1">
        <f>I173/1000</f>
        <v>-0.1411</v>
      </c>
      <c r="O173" s="1">
        <f t="shared" si="14"/>
        <v>-0.35275000000000001</v>
      </c>
      <c r="P173" s="1">
        <f>I173*N173</f>
        <v>19.909209999999998</v>
      </c>
      <c r="Q173" s="1">
        <f>(P173*10^-6)/D_Calculation_electrode_area!$H$21</f>
        <v>5.5021262513101224E-3</v>
      </c>
      <c r="R173" s="1">
        <f t="shared" si="15"/>
        <v>4.9773024999999988E-5</v>
      </c>
      <c r="S173" s="43">
        <f>10^-G173</f>
        <v>1.3614446824659488E-7</v>
      </c>
      <c r="T173" s="43"/>
      <c r="U173" s="1"/>
      <c r="V173" s="163"/>
      <c r="W173" s="170">
        <f>V173*$Z$5*10^3</f>
        <v>0</v>
      </c>
    </row>
    <row r="174" spans="1:23">
      <c r="A174" s="5" t="s">
        <v>37</v>
      </c>
      <c r="B174" s="57" t="s">
        <v>55</v>
      </c>
      <c r="C174" s="44">
        <v>25</v>
      </c>
      <c r="D174" s="1">
        <v>5.91</v>
      </c>
      <c r="E174" s="1">
        <v>22.1</v>
      </c>
      <c r="F174" s="1">
        <v>19.2</v>
      </c>
      <c r="G174" s="1">
        <v>7.13</v>
      </c>
      <c r="H174" s="1">
        <v>8.4459999999999997</v>
      </c>
      <c r="I174" s="1">
        <v>-108.3</v>
      </c>
      <c r="J174" s="1">
        <v>-49.83</v>
      </c>
      <c r="K174" s="1">
        <v>157.5</v>
      </c>
      <c r="L174" s="1"/>
      <c r="M174" s="1"/>
      <c r="N174" s="1">
        <f>I174/1000</f>
        <v>-0.10829999999999999</v>
      </c>
      <c r="O174" s="1">
        <f t="shared" si="14"/>
        <v>-0.27074999999999999</v>
      </c>
      <c r="P174" s="1">
        <f>I174*N174</f>
        <v>11.72889</v>
      </c>
      <c r="Q174" s="1">
        <f>(P174*10^-6)/D_Calculation_electrode_area!$H$21</f>
        <v>3.2414060411100586E-3</v>
      </c>
      <c r="R174" s="1">
        <f t="shared" si="15"/>
        <v>2.9322224999999997E-5</v>
      </c>
      <c r="S174" s="43">
        <f>10^-G174</f>
        <v>7.413102413009154E-8</v>
      </c>
      <c r="T174" s="43"/>
      <c r="U174" s="1"/>
      <c r="V174" s="163"/>
      <c r="W174" s="170">
        <f>V174*$Z$5*10^3</f>
        <v>0</v>
      </c>
    </row>
    <row r="175" spans="1:23">
      <c r="A175" s="5" t="s">
        <v>38</v>
      </c>
      <c r="B175" s="57" t="s">
        <v>55</v>
      </c>
      <c r="C175" s="44">
        <v>25</v>
      </c>
      <c r="D175" s="1">
        <v>5.47</v>
      </c>
      <c r="E175" s="1">
        <v>21.9</v>
      </c>
      <c r="F175" s="1">
        <v>19.2</v>
      </c>
      <c r="G175" s="1">
        <v>7.1719999999999997</v>
      </c>
      <c r="H175" s="1">
        <v>8.4480000000000004</v>
      </c>
      <c r="I175" s="1">
        <v>-52.88</v>
      </c>
      <c r="J175" s="1">
        <v>-118.7</v>
      </c>
      <c r="K175" s="1">
        <v>166.6</v>
      </c>
      <c r="L175" s="1"/>
      <c r="M175" s="1"/>
      <c r="N175" s="1">
        <f>I175/1000</f>
        <v>-5.2880000000000003E-2</v>
      </c>
      <c r="O175" s="1">
        <f t="shared" si="14"/>
        <v>-0.13220000000000001</v>
      </c>
      <c r="P175" s="1">
        <f>I175*N175</f>
        <v>2.7962944000000003</v>
      </c>
      <c r="Q175" s="1">
        <f>(P175*10^-6)/D_Calculation_electrode_area!$H$21</f>
        <v>7.7278630466158581E-4</v>
      </c>
      <c r="R175" s="1">
        <f t="shared" si="15"/>
        <v>6.990736E-6</v>
      </c>
      <c r="S175" s="43">
        <f>10^-G175</f>
        <v>6.7297665628431744E-8</v>
      </c>
      <c r="T175" s="43"/>
      <c r="U175" s="1"/>
      <c r="V175" s="163"/>
      <c r="W175" s="170">
        <f>V175*$Z$5*10^3</f>
        <v>0</v>
      </c>
    </row>
    <row r="176" spans="1:23">
      <c r="A176" s="5" t="s">
        <v>39</v>
      </c>
      <c r="B176" s="57" t="s">
        <v>55</v>
      </c>
      <c r="C176" s="44">
        <v>25</v>
      </c>
      <c r="D176" s="1">
        <v>8.0299999999999994</v>
      </c>
      <c r="E176" s="1">
        <v>23.4</v>
      </c>
      <c r="F176" s="1">
        <v>19.2</v>
      </c>
      <c r="G176" s="1">
        <v>7.4260000000000002</v>
      </c>
      <c r="H176" s="1">
        <v>8.0399999999999991</v>
      </c>
      <c r="I176" s="1"/>
      <c r="J176" s="1"/>
      <c r="K176" s="1"/>
      <c r="L176" s="1"/>
      <c r="M176" s="1"/>
      <c r="N176" s="1"/>
      <c r="O176" s="1"/>
      <c r="P176" s="1"/>
      <c r="Q176" s="1"/>
      <c r="R176" s="172"/>
      <c r="S176" s="43">
        <f>10^-G176</f>
        <v>3.749730022454832E-8</v>
      </c>
      <c r="T176" s="43"/>
      <c r="U176" s="1"/>
      <c r="V176" s="163"/>
      <c r="W176" s="170">
        <f>V176*$Z$5*10^3</f>
        <v>0</v>
      </c>
    </row>
    <row r="177" spans="1:23">
      <c r="A177" s="5" t="s">
        <v>40</v>
      </c>
      <c r="B177" s="57" t="s">
        <v>55</v>
      </c>
      <c r="C177" s="44">
        <v>25</v>
      </c>
      <c r="D177" s="1">
        <v>7.64</v>
      </c>
      <c r="E177" s="1">
        <v>22.4</v>
      </c>
      <c r="F177" s="1">
        <v>19.100000000000001</v>
      </c>
      <c r="G177" s="1">
        <v>7.5259999999999998</v>
      </c>
      <c r="H177" s="1">
        <v>8.1039999999999992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43">
        <f>10^-G177</f>
        <v>2.9785164294291901E-8</v>
      </c>
      <c r="T177" s="43"/>
      <c r="U177" s="1"/>
      <c r="V177" s="163"/>
      <c r="W177" s="170">
        <f>V177*$Z$5*10^3</f>
        <v>0</v>
      </c>
    </row>
    <row r="178" spans="1:23">
      <c r="A178" s="5" t="s">
        <v>41</v>
      </c>
      <c r="B178" s="57" t="s">
        <v>55</v>
      </c>
      <c r="C178" s="44">
        <v>25</v>
      </c>
      <c r="D178" s="1">
        <v>7.44</v>
      </c>
      <c r="E178" s="1">
        <v>22.5</v>
      </c>
      <c r="F178" s="1">
        <v>19.2</v>
      </c>
      <c r="G178" s="1">
        <v>7.4269999999999996</v>
      </c>
      <c r="H178" s="1">
        <v>7.9720000000000004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43">
        <f>10^-G178</f>
        <v>3.7411058827205278E-8</v>
      </c>
      <c r="T178" s="43"/>
      <c r="U178" s="1"/>
      <c r="V178" s="163"/>
      <c r="W178" s="170">
        <f>V178*$Z$5*10^3</f>
        <v>0</v>
      </c>
    </row>
    <row r="179" spans="1:23">
      <c r="A179" s="5" t="s">
        <v>42</v>
      </c>
      <c r="B179" s="57" t="s">
        <v>55</v>
      </c>
      <c r="C179" s="44">
        <v>25</v>
      </c>
      <c r="D179" s="1">
        <v>7.38</v>
      </c>
      <c r="E179" s="1">
        <v>21.2</v>
      </c>
      <c r="F179" s="1">
        <v>19.7</v>
      </c>
      <c r="G179" s="1">
        <v>7.3280000000000003</v>
      </c>
      <c r="H179" s="1">
        <v>8.1110000000000007</v>
      </c>
      <c r="I179" s="1">
        <v>-686</v>
      </c>
      <c r="J179" s="1">
        <v>-409.3</v>
      </c>
      <c r="K179" s="1">
        <v>277</v>
      </c>
      <c r="L179" s="1"/>
      <c r="M179" s="1"/>
      <c r="N179" s="1">
        <f>I179/1000</f>
        <v>-0.68600000000000005</v>
      </c>
      <c r="O179" s="1">
        <f t="shared" si="14"/>
        <v>-1.7150000000000001</v>
      </c>
      <c r="P179" s="1">
        <f>I179*N179</f>
        <v>470.59600000000006</v>
      </c>
      <c r="Q179" s="1">
        <f>(P179*10^-6)/D_Calculation_electrode_area!$H$21</f>
        <v>0.13005431181656826</v>
      </c>
      <c r="R179" s="1">
        <f t="shared" si="11"/>
        <v>1.1764900000000001E-3</v>
      </c>
      <c r="S179" s="43">
        <f>10^-G179</f>
        <v>4.6989410860521388E-8</v>
      </c>
      <c r="T179" s="43"/>
      <c r="U179" s="1"/>
      <c r="V179" s="163"/>
      <c r="W179" s="170">
        <f>V179*$Z$5*10^3</f>
        <v>0</v>
      </c>
    </row>
    <row r="180" spans="1:23">
      <c r="A180" s="5" t="s">
        <v>43</v>
      </c>
      <c r="B180" s="58" t="s">
        <v>55</v>
      </c>
      <c r="C180" s="44">
        <v>25</v>
      </c>
      <c r="D180" s="1">
        <v>6.97</v>
      </c>
      <c r="E180" s="1">
        <v>20.9</v>
      </c>
      <c r="F180" s="1">
        <v>19.5</v>
      </c>
      <c r="G180" s="1">
        <v>7.3010000000000002</v>
      </c>
      <c r="H180" s="1">
        <v>8.0489999999999995</v>
      </c>
      <c r="I180" s="1">
        <v>-633.1</v>
      </c>
      <c r="J180" s="1">
        <v>-401.3</v>
      </c>
      <c r="K180" s="1">
        <v>228.8</v>
      </c>
      <c r="L180" s="1"/>
      <c r="M180" s="1"/>
      <c r="N180" s="1">
        <f>I180/1000</f>
        <v>-0.6331</v>
      </c>
      <c r="O180" s="1">
        <f t="shared" si="14"/>
        <v>-1.5827499999999999</v>
      </c>
      <c r="P180" s="1">
        <f>I180*N180</f>
        <v>400.81560999999999</v>
      </c>
      <c r="Q180" s="1">
        <f>(P180*10^-6)/D_Calculation_electrode_area!$H$21</f>
        <v>0.11076974373749034</v>
      </c>
      <c r="R180" s="1">
        <f t="shared" si="11"/>
        <v>1.0020390249999998E-3</v>
      </c>
      <c r="S180" s="43">
        <f>10^-G180</f>
        <v>5.000345349769775E-8</v>
      </c>
      <c r="T180" s="43"/>
      <c r="U180" s="1"/>
      <c r="V180" s="163"/>
      <c r="W180" s="170">
        <f>V180*$Z$5*10^3</f>
        <v>0</v>
      </c>
    </row>
    <row r="181" spans="1:23">
      <c r="A181" s="34" t="s">
        <v>44</v>
      </c>
      <c r="B181" s="58" t="s">
        <v>55</v>
      </c>
      <c r="C181" s="66">
        <v>25</v>
      </c>
      <c r="D181" s="2">
        <v>6.84</v>
      </c>
      <c r="E181" s="2">
        <v>21</v>
      </c>
      <c r="F181" s="2">
        <v>19.600000000000001</v>
      </c>
      <c r="G181" s="2">
        <v>7.3949999999999996</v>
      </c>
      <c r="H181" s="2">
        <v>8.0649999999999995</v>
      </c>
      <c r="I181" s="2">
        <v>-628</v>
      </c>
      <c r="J181" s="2">
        <v>-410.9</v>
      </c>
      <c r="K181" s="2">
        <v>216.3</v>
      </c>
      <c r="L181" s="2"/>
      <c r="M181" s="2"/>
      <c r="N181" s="2">
        <f>I181/1000</f>
        <v>-0.628</v>
      </c>
      <c r="O181" s="2">
        <f t="shared" si="14"/>
        <v>-1.5699999999999998</v>
      </c>
      <c r="P181" s="2">
        <f>I181*N181</f>
        <v>394.38400000000001</v>
      </c>
      <c r="Q181" s="2">
        <f>(P181*10^-6)/D_Calculation_electrode_area!$H$21</f>
        <v>0.1089922985139386</v>
      </c>
      <c r="R181" s="2">
        <f t="shared" si="11"/>
        <v>9.8595999999999992E-4</v>
      </c>
      <c r="S181" s="78">
        <f>10^-G181</f>
        <v>4.0271703432545891E-8</v>
      </c>
      <c r="T181" s="78"/>
      <c r="U181" s="2"/>
      <c r="V181" s="166"/>
      <c r="W181" s="174">
        <f>V181*$Z$5*10^3</f>
        <v>0</v>
      </c>
    </row>
    <row r="182" spans="1:23">
      <c r="A182" s="35" t="s">
        <v>23</v>
      </c>
      <c r="B182" s="59" t="s">
        <v>56</v>
      </c>
      <c r="C182" s="62">
        <v>28</v>
      </c>
      <c r="D182" s="12">
        <v>5.26</v>
      </c>
      <c r="E182" s="12">
        <v>23</v>
      </c>
      <c r="F182" s="12">
        <v>19.3</v>
      </c>
      <c r="G182" s="12">
        <v>6.9249999999999998</v>
      </c>
      <c r="H182" s="12">
        <v>8.9489999999999998</v>
      </c>
      <c r="I182" s="12">
        <v>-170.2</v>
      </c>
      <c r="J182" s="12">
        <v>-317</v>
      </c>
      <c r="K182" s="12">
        <v>-148</v>
      </c>
      <c r="L182" s="12"/>
      <c r="M182" s="12"/>
      <c r="N182" s="12">
        <f t="shared" ref="N182:N196" si="16">I182/1000</f>
        <v>-0.17019999999999999</v>
      </c>
      <c r="O182" s="12">
        <f t="shared" si="14"/>
        <v>-0.42549999999999993</v>
      </c>
      <c r="P182" s="12">
        <f>I182*N182</f>
        <v>28.968039999999995</v>
      </c>
      <c r="Q182" s="12">
        <f>(P182*10^-6)/D_Calculation_electrode_area!$H$22</f>
        <v>1.6093352320382696E-9</v>
      </c>
      <c r="R182" s="168">
        <f t="shared" si="11"/>
        <v>7.2420099999999981E-5</v>
      </c>
      <c r="S182" s="63">
        <f>10^-G182</f>
        <v>1.1885022274370168E-7</v>
      </c>
      <c r="T182" s="63"/>
      <c r="U182" s="12"/>
      <c r="V182" s="162"/>
      <c r="W182" s="169">
        <f>V182*$Z$5*10^3</f>
        <v>0</v>
      </c>
    </row>
    <row r="183" spans="1:23">
      <c r="A183" s="5" t="s">
        <v>27</v>
      </c>
      <c r="B183" s="57" t="s">
        <v>56</v>
      </c>
      <c r="C183" s="45">
        <v>28</v>
      </c>
      <c r="D183" s="1">
        <v>5.31</v>
      </c>
      <c r="E183" s="1">
        <v>23.8</v>
      </c>
      <c r="F183" s="1">
        <v>19.100000000000001</v>
      </c>
      <c r="G183" s="1">
        <v>7.0060000000000002</v>
      </c>
      <c r="H183" s="1">
        <v>8.923</v>
      </c>
      <c r="I183" s="1">
        <v>-124.3</v>
      </c>
      <c r="J183" s="1">
        <v>-328</v>
      </c>
      <c r="K183" s="1">
        <v>-204.8</v>
      </c>
      <c r="L183" s="1"/>
      <c r="M183" s="1"/>
      <c r="N183" s="1">
        <f t="shared" si="16"/>
        <v>-0.12429999999999999</v>
      </c>
      <c r="O183" s="1">
        <f t="shared" si="14"/>
        <v>-0.31074999999999997</v>
      </c>
      <c r="P183" s="1">
        <f>I183*N183</f>
        <v>15.450489999999999</v>
      </c>
      <c r="Q183" s="1">
        <f>(P183*10^-6)/D_Calculation_electrode_area!$H$22</f>
        <v>8.5836038300330168E-10</v>
      </c>
      <c r="R183" s="1">
        <f t="shared" ref="R183:R214" si="17">(P183*10^-6)/0.4</f>
        <v>3.8626224999999988E-5</v>
      </c>
      <c r="S183" s="43">
        <f>10^-G183</f>
        <v>9.8627948563120908E-8</v>
      </c>
      <c r="T183" s="43"/>
      <c r="U183" s="1"/>
      <c r="V183" s="163"/>
      <c r="W183" s="170">
        <f>V183*$Z$5*10^3</f>
        <v>0</v>
      </c>
    </row>
    <row r="184" spans="1:23">
      <c r="A184" s="5" t="s">
        <v>30</v>
      </c>
      <c r="B184" s="57" t="s">
        <v>56</v>
      </c>
      <c r="C184" s="45">
        <v>28</v>
      </c>
      <c r="D184" s="1">
        <v>5.87</v>
      </c>
      <c r="E184" s="1">
        <v>24</v>
      </c>
      <c r="F184" s="1">
        <v>18.899999999999999</v>
      </c>
      <c r="G184" s="1">
        <v>6.9039999999999999</v>
      </c>
      <c r="H184" s="1">
        <v>8.8960000000000008</v>
      </c>
      <c r="I184" s="1">
        <v>-150.6</v>
      </c>
      <c r="J184" s="1">
        <v>-334</v>
      </c>
      <c r="K184" s="1">
        <v>-175</v>
      </c>
      <c r="L184" s="1"/>
      <c r="M184" s="1"/>
      <c r="N184" s="1">
        <f t="shared" si="16"/>
        <v>-0.15059999999999998</v>
      </c>
      <c r="O184" s="1">
        <f t="shared" si="14"/>
        <v>-0.37649999999999995</v>
      </c>
      <c r="P184" s="1">
        <f>I184*N184</f>
        <v>22.680359999999997</v>
      </c>
      <c r="Q184" s="1">
        <f>(P184*10^-6)/D_Calculation_electrode_area!$H$22</f>
        <v>1.260019746704005E-9</v>
      </c>
      <c r="R184" s="1">
        <f t="shared" si="15"/>
        <v>5.6700899999999984E-5</v>
      </c>
      <c r="S184" s="43">
        <f>10^-G184</f>
        <v>1.247383514242942E-7</v>
      </c>
      <c r="T184" s="43"/>
      <c r="U184" s="1"/>
      <c r="V184" s="163"/>
      <c r="W184" s="170">
        <f>V184*$Z$5*10^3</f>
        <v>0</v>
      </c>
    </row>
    <row r="185" spans="1:23">
      <c r="A185" s="5" t="s">
        <v>32</v>
      </c>
      <c r="B185" s="57" t="s">
        <v>56</v>
      </c>
      <c r="C185" s="45">
        <v>28</v>
      </c>
      <c r="D185" s="1">
        <v>7.25</v>
      </c>
      <c r="E185" s="1">
        <v>22.8</v>
      </c>
      <c r="F185" s="1">
        <v>19.100000000000001</v>
      </c>
      <c r="G185" s="1">
        <v>7.53</v>
      </c>
      <c r="H185" s="1">
        <v>7.7229999999999999</v>
      </c>
      <c r="I185" s="1">
        <v>-743</v>
      </c>
      <c r="J185" s="1">
        <v>-425</v>
      </c>
      <c r="K185" s="1">
        <v>331</v>
      </c>
      <c r="L185" s="1"/>
      <c r="M185" s="1"/>
      <c r="N185" s="1">
        <f t="shared" si="16"/>
        <v>-0.74299999999999999</v>
      </c>
      <c r="O185" s="1">
        <f t="shared" si="14"/>
        <v>-1.8574999999999999</v>
      </c>
      <c r="P185" s="1">
        <f>I185*N185</f>
        <v>552.04899999999998</v>
      </c>
      <c r="Q185" s="1">
        <f>(P185*10^-6)/D_Calculation_electrode_area!$H$22</f>
        <v>3.0669382723563447E-8</v>
      </c>
      <c r="R185" s="1">
        <f t="shared" si="15"/>
        <v>1.3801224999999999E-3</v>
      </c>
      <c r="S185" s="43">
        <f>10^-G185</f>
        <v>2.9512092266663779E-8</v>
      </c>
      <c r="T185" s="43"/>
      <c r="U185" s="1"/>
      <c r="V185" s="163"/>
      <c r="W185" s="170">
        <f>V185*$Z$5*10^3</f>
        <v>0</v>
      </c>
    </row>
    <row r="186" spans="1:23">
      <c r="A186" s="5" t="s">
        <v>34</v>
      </c>
      <c r="B186" s="57" t="s">
        <v>56</v>
      </c>
      <c r="C186" s="45">
        <v>28</v>
      </c>
      <c r="D186" s="1">
        <v>6.91</v>
      </c>
      <c r="E186" s="1">
        <v>23.5</v>
      </c>
      <c r="F186" s="1">
        <v>19.2</v>
      </c>
      <c r="G186" s="1">
        <v>7.66</v>
      </c>
      <c r="H186" s="1">
        <v>7.7830000000000004</v>
      </c>
      <c r="I186" s="1">
        <v>-758</v>
      </c>
      <c r="J186" s="1">
        <v>-423</v>
      </c>
      <c r="K186" s="1">
        <v>336</v>
      </c>
      <c r="L186" s="1"/>
      <c r="M186" s="1"/>
      <c r="N186" s="1">
        <f t="shared" si="16"/>
        <v>-0.75800000000000001</v>
      </c>
      <c r="O186" s="1">
        <f t="shared" si="14"/>
        <v>-1.895</v>
      </c>
      <c r="P186" s="1">
        <f>I186*N186</f>
        <v>574.56399999999996</v>
      </c>
      <c r="Q186" s="1">
        <f>(P186*10^-6)/D_Calculation_electrode_area!$H$22</f>
        <v>3.1920215805447537E-8</v>
      </c>
      <c r="R186" s="1">
        <f t="shared" si="15"/>
        <v>1.4364099999999997E-3</v>
      </c>
      <c r="S186" s="43">
        <f>10^-G186</f>
        <v>2.1877616239495494E-8</v>
      </c>
      <c r="T186" s="43"/>
      <c r="U186" s="1"/>
      <c r="V186" s="163"/>
      <c r="W186" s="170">
        <f>V186*$Z$5*10^3</f>
        <v>0</v>
      </c>
    </row>
    <row r="187" spans="1:23">
      <c r="A187" s="5" t="s">
        <v>35</v>
      </c>
      <c r="B187" s="57" t="s">
        <v>56</v>
      </c>
      <c r="C187" s="45">
        <v>28</v>
      </c>
      <c r="D187" s="1">
        <v>5.36</v>
      </c>
      <c r="E187" s="1">
        <v>23.1</v>
      </c>
      <c r="F187" s="1">
        <v>19.399999999999999</v>
      </c>
      <c r="G187" s="1">
        <v>7.6470000000000002</v>
      </c>
      <c r="H187" s="1">
        <v>7.7930000000000001</v>
      </c>
      <c r="I187" s="1">
        <v>-750</v>
      </c>
      <c r="J187" s="1">
        <v>-417</v>
      </c>
      <c r="K187" s="1">
        <v>337</v>
      </c>
      <c r="L187" s="1"/>
      <c r="M187" s="1"/>
      <c r="N187" s="1">
        <f t="shared" si="16"/>
        <v>-0.75</v>
      </c>
      <c r="O187" s="1">
        <f t="shared" si="14"/>
        <v>-1.875</v>
      </c>
      <c r="P187" s="1">
        <f>I187*N187</f>
        <v>562.5</v>
      </c>
      <c r="Q187" s="1">
        <f>(P187*10^-6)/D_Calculation_electrode_area!$H$22</f>
        <v>3.1249993717956991E-8</v>
      </c>
      <c r="R187" s="1">
        <f t="shared" si="15"/>
        <v>1.4062499999999997E-3</v>
      </c>
      <c r="S187" s="43">
        <f>10^-G187</f>
        <v>2.2542392121524224E-8</v>
      </c>
      <c r="T187" s="43"/>
      <c r="U187" s="1"/>
      <c r="V187" s="163"/>
      <c r="W187" s="170">
        <f>V187*$Z$5*10^3</f>
        <v>0</v>
      </c>
    </row>
    <row r="188" spans="1:23">
      <c r="A188" s="5" t="s">
        <v>36</v>
      </c>
      <c r="B188" s="57" t="s">
        <v>56</v>
      </c>
      <c r="C188" s="45">
        <v>28</v>
      </c>
      <c r="D188" s="1">
        <v>5.74</v>
      </c>
      <c r="E188" s="1">
        <v>23</v>
      </c>
      <c r="F188" s="1">
        <v>19.2</v>
      </c>
      <c r="G188" s="1">
        <v>6.7990000000000004</v>
      </c>
      <c r="H188" s="1">
        <v>8.8859999999999992</v>
      </c>
      <c r="I188" s="1">
        <v>-133.6</v>
      </c>
      <c r="J188" s="1">
        <v>20.49</v>
      </c>
      <c r="K188" s="1">
        <v>113</v>
      </c>
      <c r="L188" s="1"/>
      <c r="M188" s="1"/>
      <c r="N188" s="1">
        <f t="shared" si="16"/>
        <v>-0.1336</v>
      </c>
      <c r="O188" s="1">
        <f t="shared" si="14"/>
        <v>-0.33399999999999996</v>
      </c>
      <c r="P188" s="1">
        <f>I188*N188</f>
        <v>17.848959999999998</v>
      </c>
      <c r="Q188" s="1">
        <f>(P188*10^-6)/D_Calculation_electrode_area!$H$21</f>
        <v>4.9327538046253132E-3</v>
      </c>
      <c r="R188" s="1">
        <f t="shared" si="15"/>
        <v>4.4622399999999995E-5</v>
      </c>
      <c r="S188" s="43">
        <f>10^-G188</f>
        <v>1.5885467485977757E-7</v>
      </c>
      <c r="T188" s="43"/>
      <c r="U188" s="1"/>
      <c r="V188" s="163"/>
      <c r="W188" s="170">
        <f>V188*$Z$5*10^3</f>
        <v>0</v>
      </c>
    </row>
    <row r="189" spans="1:23">
      <c r="A189" s="5" t="s">
        <v>37</v>
      </c>
      <c r="B189" s="57" t="s">
        <v>56</v>
      </c>
      <c r="C189" s="45">
        <v>28</v>
      </c>
      <c r="D189" s="1">
        <v>5.96</v>
      </c>
      <c r="E189" s="1">
        <v>23.1</v>
      </c>
      <c r="F189" s="1">
        <v>19.2</v>
      </c>
      <c r="G189" s="1">
        <v>7.06</v>
      </c>
      <c r="H189" s="1">
        <v>8.7040000000000006</v>
      </c>
      <c r="I189" s="1">
        <v>-107.4</v>
      </c>
      <c r="J189" s="1">
        <v>46.7</v>
      </c>
      <c r="K189" s="1">
        <v>155</v>
      </c>
      <c r="L189" s="1"/>
      <c r="M189" s="1"/>
      <c r="N189" s="1">
        <f t="shared" si="16"/>
        <v>-0.10740000000000001</v>
      </c>
      <c r="O189" s="1">
        <f t="shared" si="14"/>
        <v>-0.26850000000000002</v>
      </c>
      <c r="P189" s="1">
        <f>I189*N189</f>
        <v>11.534760000000002</v>
      </c>
      <c r="Q189" s="1">
        <f>(P189*10^-6)/D_Calculation_electrode_area!$H$21</f>
        <v>3.1877561087839232E-3</v>
      </c>
      <c r="R189" s="1">
        <f t="shared" si="15"/>
        <v>2.8836900000000005E-5</v>
      </c>
      <c r="S189" s="43">
        <f>10^-G189</f>
        <v>8.7096358995608061E-8</v>
      </c>
      <c r="T189" s="43"/>
      <c r="U189" s="1"/>
      <c r="V189" s="163"/>
      <c r="W189" s="170">
        <f>V189*$Z$5*10^3</f>
        <v>0</v>
      </c>
    </row>
    <row r="190" spans="1:23">
      <c r="A190" s="5" t="s">
        <v>38</v>
      </c>
      <c r="B190" s="57" t="s">
        <v>56</v>
      </c>
      <c r="C190" s="45">
        <v>28</v>
      </c>
      <c r="D190" s="1">
        <v>5.77</v>
      </c>
      <c r="E190" s="1">
        <v>22.9</v>
      </c>
      <c r="F190" s="1">
        <v>19.2</v>
      </c>
      <c r="G190" s="1">
        <v>7.1449999999999996</v>
      </c>
      <c r="H190" s="1">
        <v>8.4730000000000008</v>
      </c>
      <c r="I190" s="1">
        <v>-64.7</v>
      </c>
      <c r="J190" s="1">
        <v>123</v>
      </c>
      <c r="K190" s="1">
        <v>177</v>
      </c>
      <c r="L190" s="1"/>
      <c r="M190" s="1"/>
      <c r="N190" s="1">
        <f t="shared" si="16"/>
        <v>-6.4700000000000008E-2</v>
      </c>
      <c r="O190" s="1">
        <f t="shared" si="14"/>
        <v>-0.16175</v>
      </c>
      <c r="P190" s="1">
        <f>I190*N190</f>
        <v>4.186090000000001</v>
      </c>
      <c r="Q190" s="1">
        <f>(P190*10^-6)/D_Calculation_electrode_area!$H$21</f>
        <v>1.1568714016953359E-3</v>
      </c>
      <c r="R190" s="1">
        <f t="shared" si="15"/>
        <v>1.0465225000000001E-5</v>
      </c>
      <c r="S190" s="43">
        <f>10^-G190</f>
        <v>7.1614341021290254E-8</v>
      </c>
      <c r="T190" s="43"/>
      <c r="U190" s="1"/>
      <c r="V190" s="163"/>
      <c r="W190" s="170">
        <f>V190*$Z$5*10^3</f>
        <v>0</v>
      </c>
    </row>
    <row r="191" spans="1:23">
      <c r="A191" s="5" t="s">
        <v>39</v>
      </c>
      <c r="B191" s="57" t="s">
        <v>56</v>
      </c>
      <c r="C191" s="45">
        <v>28</v>
      </c>
      <c r="D191" s="1">
        <v>7.56</v>
      </c>
      <c r="E191" s="1">
        <v>24.8</v>
      </c>
      <c r="F191" s="1">
        <v>19.2</v>
      </c>
      <c r="G191" s="1">
        <v>7.4269999999999996</v>
      </c>
      <c r="H191" s="1">
        <v>8.0649999999999995</v>
      </c>
      <c r="I191" s="1"/>
      <c r="J191" s="1"/>
      <c r="K191" s="1"/>
      <c r="L191" s="1"/>
      <c r="M191" s="1"/>
      <c r="N191" s="1"/>
      <c r="O191" s="1"/>
      <c r="P191" s="1"/>
      <c r="Q191" s="1"/>
      <c r="R191" s="172"/>
      <c r="S191" s="43">
        <f>10^-G191</f>
        <v>3.7411058827205278E-8</v>
      </c>
      <c r="T191" s="43"/>
      <c r="U191" s="1"/>
      <c r="V191" s="163"/>
      <c r="W191" s="170">
        <f>V191*$Z$5*10^3</f>
        <v>0</v>
      </c>
    </row>
    <row r="192" spans="1:23">
      <c r="A192" s="5" t="s">
        <v>40</v>
      </c>
      <c r="B192" s="57" t="s">
        <v>56</v>
      </c>
      <c r="C192" s="45">
        <v>28</v>
      </c>
      <c r="D192" s="1">
        <v>7.63</v>
      </c>
      <c r="E192" s="1">
        <v>23.5</v>
      </c>
      <c r="F192" s="1">
        <v>19</v>
      </c>
      <c r="G192" s="1">
        <v>7.53</v>
      </c>
      <c r="H192" s="1">
        <v>8.1300000000000008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43">
        <f>10^-G192</f>
        <v>2.9512092266663779E-8</v>
      </c>
      <c r="T192" s="43"/>
      <c r="U192" s="1"/>
      <c r="V192" s="163"/>
      <c r="W192" s="170">
        <f>V192*$Z$5*10^3</f>
        <v>0</v>
      </c>
    </row>
    <row r="193" spans="1:23">
      <c r="A193" s="5" t="s">
        <v>41</v>
      </c>
      <c r="B193" s="57" t="s">
        <v>56</v>
      </c>
      <c r="C193" s="45">
        <v>28</v>
      </c>
      <c r="D193" s="1">
        <v>7.66</v>
      </c>
      <c r="E193" s="1">
        <v>23.7</v>
      </c>
      <c r="F193" s="1">
        <v>19.3</v>
      </c>
      <c r="G193" s="1">
        <v>7.4329999999999998</v>
      </c>
      <c r="H193" s="1">
        <v>8.0259999999999998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43">
        <f>10^-G193</f>
        <v>3.6897759857014949E-8</v>
      </c>
      <c r="T193" s="43"/>
      <c r="U193" s="1"/>
      <c r="V193" s="163"/>
      <c r="W193" s="170">
        <f>V193*$Z$5*10^3</f>
        <v>0</v>
      </c>
    </row>
    <row r="194" spans="1:23">
      <c r="A194" s="5" t="s">
        <v>42</v>
      </c>
      <c r="B194" s="57" t="s">
        <v>56</v>
      </c>
      <c r="C194" s="45">
        <v>28</v>
      </c>
      <c r="D194" s="1">
        <v>7.43</v>
      </c>
      <c r="E194" s="1">
        <v>22.3</v>
      </c>
      <c r="F194" s="1">
        <v>19.3</v>
      </c>
      <c r="G194" s="1">
        <v>7.3360000000000003</v>
      </c>
      <c r="H194" s="1">
        <v>8.0640000000000001</v>
      </c>
      <c r="I194" s="1">
        <v>-675</v>
      </c>
      <c r="J194" s="1">
        <v>-391</v>
      </c>
      <c r="K194" s="1">
        <v>293</v>
      </c>
      <c r="L194" s="1"/>
      <c r="M194" s="1"/>
      <c r="N194" s="1">
        <f t="shared" si="16"/>
        <v>-0.67500000000000004</v>
      </c>
      <c r="O194" s="1">
        <f t="shared" si="14"/>
        <v>-1.6875</v>
      </c>
      <c r="P194" s="1">
        <f>I194*N194</f>
        <v>455.62500000000006</v>
      </c>
      <c r="Q194" s="1">
        <f>(P194*10^-6)/D_Calculation_electrode_area!$H$21</f>
        <v>0.1259169134914532</v>
      </c>
      <c r="R194" s="1">
        <f t="shared" ref="R194:R257" si="18">(P194*10^-6)/0.4</f>
        <v>1.1390625000000001E-3</v>
      </c>
      <c r="S194" s="43">
        <f>10^-G194</f>
        <v>4.6131757456037865E-8</v>
      </c>
      <c r="T194" s="43"/>
      <c r="U194" s="1"/>
      <c r="V194" s="163"/>
      <c r="W194" s="170">
        <f>V194*$Z$5*10^3</f>
        <v>0</v>
      </c>
    </row>
    <row r="195" spans="1:23">
      <c r="A195" s="5" t="s">
        <v>43</v>
      </c>
      <c r="B195" s="58" t="s">
        <v>56</v>
      </c>
      <c r="C195" s="45">
        <v>28</v>
      </c>
      <c r="D195" s="1">
        <v>7.1</v>
      </c>
      <c r="E195" s="1">
        <v>21.8</v>
      </c>
      <c r="F195" s="1">
        <v>19.600000000000001</v>
      </c>
      <c r="G195" s="1">
        <v>7.29</v>
      </c>
      <c r="H195" s="1">
        <v>8.1219999999999999</v>
      </c>
      <c r="I195" s="1">
        <v>-655</v>
      </c>
      <c r="J195" s="1">
        <v>-404</v>
      </c>
      <c r="K195" s="1">
        <v>273</v>
      </c>
      <c r="L195" s="1"/>
      <c r="M195" s="1"/>
      <c r="N195" s="1">
        <f t="shared" si="16"/>
        <v>-0.65500000000000003</v>
      </c>
      <c r="O195" s="1">
        <f t="shared" si="14"/>
        <v>-1.6375</v>
      </c>
      <c r="P195" s="1">
        <f>I195*N195</f>
        <v>429.02500000000003</v>
      </c>
      <c r="Q195" s="1">
        <f>(P195*10^-6)/D_Calculation_electrode_area!$H$21</f>
        <v>0.11856571481079992</v>
      </c>
      <c r="R195" s="1">
        <f t="shared" si="18"/>
        <v>1.0725624999999999E-3</v>
      </c>
      <c r="S195" s="43">
        <f>10^-G195</f>
        <v>5.1286138399136415E-8</v>
      </c>
      <c r="T195" s="43"/>
      <c r="U195" s="1"/>
      <c r="V195" s="163"/>
      <c r="W195" s="170">
        <f>V195*$Z$5*10^3</f>
        <v>0</v>
      </c>
    </row>
    <row r="196" spans="1:23">
      <c r="A196" s="6" t="s">
        <v>44</v>
      </c>
      <c r="B196" s="60" t="s">
        <v>56</v>
      </c>
      <c r="C196" s="46">
        <v>28</v>
      </c>
      <c r="D196" s="3">
        <v>6.58</v>
      </c>
      <c r="E196" s="3">
        <v>21.9</v>
      </c>
      <c r="F196" s="3">
        <v>19.600000000000001</v>
      </c>
      <c r="G196" s="3">
        <v>7.3810000000000002</v>
      </c>
      <c r="H196" s="3">
        <v>8.0559999999999992</v>
      </c>
      <c r="I196" s="3">
        <v>-552</v>
      </c>
      <c r="J196" s="3">
        <v>-433</v>
      </c>
      <c r="K196" s="3">
        <v>264</v>
      </c>
      <c r="L196" s="3"/>
      <c r="M196" s="3"/>
      <c r="N196" s="3">
        <f t="shared" si="16"/>
        <v>-0.55200000000000005</v>
      </c>
      <c r="O196" s="3">
        <f t="shared" si="14"/>
        <v>-1.3800000000000001</v>
      </c>
      <c r="P196" s="3">
        <f>I196*N196</f>
        <v>304.70400000000001</v>
      </c>
      <c r="Q196" s="3">
        <f>(P196*10^-6)/D_Calculation_electrode_area!$H$21</f>
        <v>8.4208257247736076E-2</v>
      </c>
      <c r="R196" s="3">
        <f t="shared" si="18"/>
        <v>7.6175999999999989E-4</v>
      </c>
      <c r="S196" s="77">
        <f>10^-G196</f>
        <v>4.1591061049402152E-8</v>
      </c>
      <c r="T196" s="77"/>
      <c r="U196" s="3"/>
      <c r="V196" s="164"/>
      <c r="W196" s="171">
        <f>V196*$Z$5*10^3</f>
        <v>0</v>
      </c>
    </row>
    <row r="197" spans="1:23">
      <c r="A197" s="7" t="s">
        <v>23</v>
      </c>
      <c r="B197" s="61" t="s">
        <v>57</v>
      </c>
      <c r="C197" s="65">
        <v>30</v>
      </c>
      <c r="D197" s="4">
        <v>5.24</v>
      </c>
      <c r="E197" s="4">
        <v>22.2</v>
      </c>
      <c r="F197" s="4">
        <v>19.600000000000001</v>
      </c>
      <c r="G197" s="4">
        <v>6.9359999999999999</v>
      </c>
      <c r="H197" s="4">
        <v>8.9160000000000004</v>
      </c>
      <c r="I197" s="4">
        <v>-176.3</v>
      </c>
      <c r="J197" s="4">
        <v>-309.39999999999998</v>
      </c>
      <c r="K197" s="4">
        <v>-135.6</v>
      </c>
      <c r="L197" s="4">
        <f>0.101*8</f>
        <v>0.80800000000000005</v>
      </c>
      <c r="M197" s="4">
        <f>76*5</f>
        <v>380</v>
      </c>
      <c r="N197" s="4">
        <f>I197/1000</f>
        <v>-0.17630000000000001</v>
      </c>
      <c r="O197" s="4">
        <f t="shared" si="14"/>
        <v>-0.44075000000000003</v>
      </c>
      <c r="P197" s="4">
        <f>I197*N197</f>
        <v>31.081690000000005</v>
      </c>
      <c r="Q197" s="4">
        <f>(P197*10^-6)/D_Calculation_electrode_area!$H$22</f>
        <v>1.7267602084328654E-9</v>
      </c>
      <c r="R197" s="172">
        <f t="shared" si="18"/>
        <v>7.7704225000000009E-5</v>
      </c>
      <c r="S197" s="167">
        <f>10^-G197</f>
        <v>1.1587773561551238E-7</v>
      </c>
      <c r="T197" s="167">
        <f>(M197*10^-3/$Z$4)</f>
        <v>3.9557538521755604E-3</v>
      </c>
      <c r="U197" s="4">
        <f>(L197*10^-3/$Z$3)</f>
        <v>2.3708308001436581E-5</v>
      </c>
      <c r="V197" s="165">
        <f t="shared" si="13"/>
        <v>3.9794621601769971E-3</v>
      </c>
      <c r="W197" s="173">
        <f>V197*$Z$5*10^3</f>
        <v>127.60145416607541</v>
      </c>
    </row>
    <row r="198" spans="1:23">
      <c r="A198" s="5" t="s">
        <v>27</v>
      </c>
      <c r="B198" s="57" t="s">
        <v>57</v>
      </c>
      <c r="C198" s="45">
        <v>30</v>
      </c>
      <c r="D198" s="1">
        <v>5.65</v>
      </c>
      <c r="E198" s="1">
        <v>23.4</v>
      </c>
      <c r="F198" s="1">
        <v>19.399999999999999</v>
      </c>
      <c r="G198" s="1">
        <v>7.0069999999999997</v>
      </c>
      <c r="H198" s="1">
        <v>8.8510000000000009</v>
      </c>
      <c r="I198" s="1">
        <v>-117</v>
      </c>
      <c r="J198" s="1">
        <v>-329.5</v>
      </c>
      <c r="K198" s="1">
        <v>-214.2</v>
      </c>
      <c r="L198" s="1">
        <f>0.579*8</f>
        <v>4.6319999999999997</v>
      </c>
      <c r="M198" s="1">
        <f>76.6*5</f>
        <v>383</v>
      </c>
      <c r="N198" s="1">
        <f t="shared" ref="N197:N211" si="19">I198/1000</f>
        <v>-0.11700000000000001</v>
      </c>
      <c r="O198" s="1">
        <f t="shared" si="14"/>
        <v>-0.29249999999999998</v>
      </c>
      <c r="P198" s="1">
        <f>I198*N198</f>
        <v>13.689</v>
      </c>
      <c r="Q198" s="1">
        <f>(P198*10^-6)/D_Calculation_electrode_area!$H$22</f>
        <v>7.6049984712020127E-10</v>
      </c>
      <c r="R198" s="1">
        <f t="shared" si="18"/>
        <v>3.4222499999999993E-5</v>
      </c>
      <c r="S198" s="43">
        <f>10^-G198</f>
        <v>9.8401110576113189E-8</v>
      </c>
      <c r="T198" s="43">
        <f>(M198*10^-3/$Z$4)</f>
        <v>3.9869834878506309E-3</v>
      </c>
      <c r="U198" s="1">
        <f>(L198*10^-3/$Z$3)</f>
        <v>1.3591198349338396E-4</v>
      </c>
      <c r="V198" s="163">
        <f t="shared" si="13"/>
        <v>4.1228954713440147E-3</v>
      </c>
      <c r="W198" s="170">
        <f>V198*$Z$5*10^3</f>
        <v>132.20064328864584</v>
      </c>
    </row>
    <row r="199" spans="1:23">
      <c r="A199" s="5" t="s">
        <v>30</v>
      </c>
      <c r="B199" s="57" t="s">
        <v>57</v>
      </c>
      <c r="C199" s="45">
        <v>30</v>
      </c>
      <c r="D199" s="1">
        <v>5.69</v>
      </c>
      <c r="E199" s="1">
        <v>23.6</v>
      </c>
      <c r="F199" s="1">
        <v>19.399999999999999</v>
      </c>
      <c r="G199" s="1">
        <v>6.8789999999999996</v>
      </c>
      <c r="H199" s="1">
        <v>8.86</v>
      </c>
      <c r="I199" s="1">
        <v>-151</v>
      </c>
      <c r="J199" s="1">
        <v>-330.6</v>
      </c>
      <c r="K199" s="1">
        <v>-177.2</v>
      </c>
      <c r="L199" s="1">
        <f>0.152*8</f>
        <v>1.216</v>
      </c>
      <c r="M199" s="1">
        <f>74.3*5</f>
        <v>371.5</v>
      </c>
      <c r="N199" s="1">
        <f t="shared" si="19"/>
        <v>-0.151</v>
      </c>
      <c r="O199" s="1">
        <f t="shared" si="14"/>
        <v>-0.37749999999999995</v>
      </c>
      <c r="P199" s="1">
        <f>I199*N199</f>
        <v>22.800999999999998</v>
      </c>
      <c r="Q199" s="1">
        <f>(P199*10^-6)/D_Calculation_electrode_area!$H$22</f>
        <v>1.2667219675789108E-9</v>
      </c>
      <c r="R199" s="1">
        <f t="shared" si="15"/>
        <v>5.7002499999999988E-5</v>
      </c>
      <c r="S199" s="43">
        <f>10^-G199</f>
        <v>1.3212956341865737E-7</v>
      </c>
      <c r="T199" s="43">
        <f>(M199*10^-3/$Z$4)</f>
        <v>3.8672698844295279E-3</v>
      </c>
      <c r="U199" s="1">
        <f>(L199*10^-3/$Z$3)</f>
        <v>3.5679829863548127E-5</v>
      </c>
      <c r="V199" s="163">
        <f t="shared" si="13"/>
        <v>3.9029497142930758E-3</v>
      </c>
      <c r="W199" s="170">
        <f>V199*$Z$5*10^3</f>
        <v>125.14808258880747</v>
      </c>
    </row>
    <row r="200" spans="1:23">
      <c r="A200" s="5" t="s">
        <v>32</v>
      </c>
      <c r="B200" s="57" t="s">
        <v>57</v>
      </c>
      <c r="C200" s="45">
        <v>30</v>
      </c>
      <c r="D200" s="1">
        <v>6.61</v>
      </c>
      <c r="E200" s="1">
        <v>22.7</v>
      </c>
      <c r="F200" s="1">
        <v>19.5</v>
      </c>
      <c r="G200" s="1">
        <v>7.56</v>
      </c>
      <c r="H200" s="1">
        <v>7.7469999999999999</v>
      </c>
      <c r="I200" s="1">
        <v>-779</v>
      </c>
      <c r="J200" s="1">
        <v>-422.1</v>
      </c>
      <c r="K200" s="1">
        <v>372</v>
      </c>
      <c r="L200" s="1">
        <f>0.752*8</f>
        <v>6.016</v>
      </c>
      <c r="M200" s="1">
        <f>67.5*5</f>
        <v>337.5</v>
      </c>
      <c r="N200" s="1">
        <f t="shared" si="19"/>
        <v>-0.77900000000000003</v>
      </c>
      <c r="O200" s="1">
        <f t="shared" si="14"/>
        <v>-1.9475</v>
      </c>
      <c r="P200" s="1">
        <f>I200*N200</f>
        <v>606.84100000000001</v>
      </c>
      <c r="Q200" s="1">
        <f>(P200*10^-6)/D_Calculation_electrode_area!$H$22</f>
        <v>3.37133821116422E-8</v>
      </c>
      <c r="R200" s="1">
        <f t="shared" si="15"/>
        <v>1.5171024999999999E-3</v>
      </c>
      <c r="S200" s="43">
        <f>10^-G200</f>
        <v>2.75422870333816E-8</v>
      </c>
      <c r="T200" s="43">
        <f>(M200*10^-3/$Z$4)</f>
        <v>3.5133340134453992E-3</v>
      </c>
      <c r="U200" s="1">
        <f>(L200*10^-3/$Z$3)</f>
        <v>1.7652126353544863E-4</v>
      </c>
      <c r="V200" s="163">
        <f t="shared" si="13"/>
        <v>3.6898552769808477E-3</v>
      </c>
      <c r="W200" s="170">
        <f>V200*$Z$5*10^3</f>
        <v>118.31520945639087</v>
      </c>
    </row>
    <row r="201" spans="1:23">
      <c r="A201" s="5" t="s">
        <v>34</v>
      </c>
      <c r="B201" s="57" t="s">
        <v>57</v>
      </c>
      <c r="C201" s="45">
        <v>30</v>
      </c>
      <c r="D201" s="1">
        <v>6.21</v>
      </c>
      <c r="E201" s="1">
        <v>23.1</v>
      </c>
      <c r="F201" s="1">
        <v>19.600000000000001</v>
      </c>
      <c r="G201" s="1">
        <v>7.6710000000000003</v>
      </c>
      <c r="H201" s="1">
        <v>7.915</v>
      </c>
      <c r="I201" s="1">
        <v>-768</v>
      </c>
      <c r="J201" s="1">
        <v>-442</v>
      </c>
      <c r="K201" s="1">
        <v>322.39999999999998</v>
      </c>
      <c r="L201" s="1">
        <f>1.33*8</f>
        <v>10.64</v>
      </c>
      <c r="M201" s="1">
        <f>52.5*5</f>
        <v>262.5</v>
      </c>
      <c r="N201" s="1">
        <f t="shared" si="19"/>
        <v>-0.76800000000000002</v>
      </c>
      <c r="O201" s="1">
        <f t="shared" si="14"/>
        <v>-1.92</v>
      </c>
      <c r="P201" s="1">
        <f>I201*N201</f>
        <v>589.82400000000007</v>
      </c>
      <c r="Q201" s="1">
        <f>(P201*10^-6)/D_Calculation_electrode_area!$H$22</f>
        <v>3.2767993412800475E-8</v>
      </c>
      <c r="R201" s="1">
        <f t="shared" si="15"/>
        <v>1.4745600000000002E-3</v>
      </c>
      <c r="S201" s="43">
        <f>10^-G201</f>
        <v>2.1330449131465721E-8</v>
      </c>
      <c r="T201" s="43">
        <f>(M201*10^-3/$Z$4)</f>
        <v>2.7325931215686438E-3</v>
      </c>
      <c r="U201" s="1">
        <f>(L201*10^-3/$Z$3)</f>
        <v>3.1219851130604608E-4</v>
      </c>
      <c r="V201" s="163">
        <f t="shared" si="13"/>
        <v>3.04479163287469E-3</v>
      </c>
      <c r="W201" s="170">
        <f>V201*$Z$5*10^3</f>
        <v>97.631243708126931</v>
      </c>
    </row>
    <row r="202" spans="1:23">
      <c r="A202" s="5" t="s">
        <v>35</v>
      </c>
      <c r="B202" s="57" t="s">
        <v>57</v>
      </c>
      <c r="C202" s="45">
        <v>30</v>
      </c>
      <c r="D202" s="1">
        <v>6.01</v>
      </c>
      <c r="E202" s="1">
        <v>22.8</v>
      </c>
      <c r="F202" s="1">
        <v>19.5</v>
      </c>
      <c r="G202" s="1">
        <v>7.6470000000000002</v>
      </c>
      <c r="H202" s="1">
        <v>7.7670000000000003</v>
      </c>
      <c r="I202" s="1">
        <v>-760</v>
      </c>
      <c r="J202" s="1">
        <v>-429</v>
      </c>
      <c r="K202" s="1">
        <v>342.1</v>
      </c>
      <c r="L202" s="1">
        <f>0.645*8</f>
        <v>5.16</v>
      </c>
      <c r="M202" s="1">
        <f>71.1*5</f>
        <v>355.5</v>
      </c>
      <c r="N202" s="1">
        <f t="shared" si="19"/>
        <v>-0.76</v>
      </c>
      <c r="O202" s="1">
        <f t="shared" si="14"/>
        <v>-1.9</v>
      </c>
      <c r="P202" s="1">
        <f>I202*N202</f>
        <v>577.6</v>
      </c>
      <c r="Q202" s="1">
        <f>(P202*10^-6)/D_Calculation_electrode_area!$H$22</f>
        <v>3.2088882438207922E-8</v>
      </c>
      <c r="R202" s="1">
        <f t="shared" si="15"/>
        <v>1.4439999999999998E-3</v>
      </c>
      <c r="S202" s="43">
        <f>10^-G202</f>
        <v>2.2542392121524224E-8</v>
      </c>
      <c r="T202" s="43">
        <f>(M202*10^-3/$Z$4)</f>
        <v>3.7007118274958203E-3</v>
      </c>
      <c r="U202" s="1">
        <f>(L202*10^-3/$Z$3)</f>
        <v>1.5140454119729304E-4</v>
      </c>
      <c r="V202" s="163">
        <f t="shared" si="13"/>
        <v>3.8521163686931134E-3</v>
      </c>
      <c r="W202" s="170">
        <f>V202*$Z$5*10^3</f>
        <v>123.51811136214468</v>
      </c>
    </row>
    <row r="203" spans="1:23">
      <c r="A203" s="5" t="s">
        <v>36</v>
      </c>
      <c r="B203" s="57" t="s">
        <v>57</v>
      </c>
      <c r="C203" s="45">
        <v>30</v>
      </c>
      <c r="D203" s="1">
        <v>6.36</v>
      </c>
      <c r="E203" s="1">
        <v>22.8</v>
      </c>
      <c r="F203" s="1">
        <v>19.2</v>
      </c>
      <c r="G203" s="1">
        <v>6.79</v>
      </c>
      <c r="H203" s="1">
        <v>8.907</v>
      </c>
      <c r="I203" s="1">
        <v>-132</v>
      </c>
      <c r="J203" s="1">
        <v>-46.2</v>
      </c>
      <c r="K203" s="1">
        <v>85.01</v>
      </c>
      <c r="L203" s="1">
        <f>1.08*8</f>
        <v>8.64</v>
      </c>
      <c r="M203" s="1">
        <f>114*5</f>
        <v>570</v>
      </c>
      <c r="N203" s="1">
        <f t="shared" si="19"/>
        <v>-0.13200000000000001</v>
      </c>
      <c r="O203" s="1">
        <f t="shared" si="14"/>
        <v>-0.33</v>
      </c>
      <c r="P203" s="1">
        <f>I203*N203</f>
        <v>17.423999999999999</v>
      </c>
      <c r="Q203" s="1">
        <f>(P203*10^-6)/D_Calculation_electrode_area!$H$21</f>
        <v>4.8153114966805605E-3</v>
      </c>
      <c r="R203" s="1">
        <f t="shared" si="15"/>
        <v>4.355999999999999E-5</v>
      </c>
      <c r="S203" s="43">
        <f>10^-G203</f>
        <v>1.6218100973589288E-7</v>
      </c>
      <c r="T203" s="43">
        <f>(M203*10^-3/$Z$4)</f>
        <v>5.9336307782633414E-3</v>
      </c>
      <c r="U203" s="1">
        <f>(L203*10^-3/$Z$3)</f>
        <v>2.5351458060942088E-4</v>
      </c>
      <c r="V203" s="163">
        <f t="shared" si="13"/>
        <v>6.187145358872762E-3</v>
      </c>
      <c r="W203" s="170">
        <f>V203*$Z$5*10^3</f>
        <v>198.39081593225509</v>
      </c>
    </row>
    <row r="204" spans="1:23">
      <c r="A204" s="5" t="s">
        <v>37</v>
      </c>
      <c r="B204" s="57" t="s">
        <v>57</v>
      </c>
      <c r="C204" s="45">
        <v>30</v>
      </c>
      <c r="D204" s="1">
        <v>6.35</v>
      </c>
      <c r="E204" s="1">
        <v>22.6</v>
      </c>
      <c r="F204" s="1">
        <v>19.5</v>
      </c>
      <c r="G204" s="1">
        <v>7.0510000000000002</v>
      </c>
      <c r="H204" s="1">
        <v>8.6229999999999993</v>
      </c>
      <c r="I204" s="1">
        <v>-79</v>
      </c>
      <c r="J204" s="1">
        <v>155.6</v>
      </c>
      <c r="K204" s="1">
        <v>210</v>
      </c>
      <c r="L204" s="1">
        <f>1.92*8</f>
        <v>15.36</v>
      </c>
      <c r="M204" s="1">
        <f>111*5</f>
        <v>555</v>
      </c>
      <c r="N204" s="1">
        <f t="shared" si="19"/>
        <v>-7.9000000000000001E-2</v>
      </c>
      <c r="O204" s="1">
        <f t="shared" si="14"/>
        <v>-0.19749999999999998</v>
      </c>
      <c r="P204" s="1">
        <f>I204*N204</f>
        <v>6.2409999999999997</v>
      </c>
      <c r="Q204" s="1">
        <f>(P204*10^-6)/D_Calculation_electrode_area!$H$21</f>
        <v>1.7247680814269613E-3</v>
      </c>
      <c r="R204" s="1">
        <f t="shared" si="15"/>
        <v>1.5602499999999998E-5</v>
      </c>
      <c r="S204" s="43">
        <f>10^-G204</f>
        <v>8.8920111785794765E-8</v>
      </c>
      <c r="T204" s="43">
        <f>(M204*10^-3/$Z$4)</f>
        <v>5.7774825998879904E-3</v>
      </c>
      <c r="U204" s="1">
        <f>(L204*10^-3/$Z$3)</f>
        <v>4.5069258775008156E-4</v>
      </c>
      <c r="V204" s="163">
        <f t="shared" si="13"/>
        <v>6.2281751876380716E-3</v>
      </c>
      <c r="W204" s="170">
        <f>V204*$Z$5*10^3</f>
        <v>199.70643739161474</v>
      </c>
    </row>
    <row r="205" spans="1:23">
      <c r="A205" s="5" t="s">
        <v>38</v>
      </c>
      <c r="B205" s="57" t="s">
        <v>57</v>
      </c>
      <c r="C205" s="45">
        <v>30</v>
      </c>
      <c r="D205" s="1">
        <v>6.64</v>
      </c>
      <c r="E205" s="1">
        <v>22.8</v>
      </c>
      <c r="F205" s="1">
        <v>19.5</v>
      </c>
      <c r="G205" s="1">
        <v>7.1630000000000003</v>
      </c>
      <c r="H205" s="1">
        <v>8.5169999999999995</v>
      </c>
      <c r="I205" s="1">
        <v>-55</v>
      </c>
      <c r="J205" s="1">
        <v>127.4</v>
      </c>
      <c r="K205" s="1">
        <v>182.6</v>
      </c>
      <c r="L205" s="1">
        <f>1.22*25</f>
        <v>30.5</v>
      </c>
      <c r="M205" s="1">
        <f>77.5*5</f>
        <v>387.5</v>
      </c>
      <c r="N205" s="1">
        <f t="shared" si="19"/>
        <v>-5.5E-2</v>
      </c>
      <c r="O205" s="1">
        <f t="shared" si="14"/>
        <v>-0.13749999999999998</v>
      </c>
      <c r="P205" s="1">
        <f>I205*N205</f>
        <v>3.0249999999999999</v>
      </c>
      <c r="Q205" s="1">
        <f>(P205*10^-6)/D_Calculation_electrode_area!$H$21</f>
        <v>8.3599157928481956E-4</v>
      </c>
      <c r="R205" s="1">
        <f t="shared" si="15"/>
        <v>7.5624999999999992E-6</v>
      </c>
      <c r="S205" s="43">
        <f>10^-G205</f>
        <v>6.8706844001423132E-8</v>
      </c>
      <c r="T205" s="43">
        <f>(M205*10^-3/$Z$4)</f>
        <v>4.0338279413632359E-3</v>
      </c>
      <c r="U205" s="1">
        <f>(L205*10^-3/$Z$3)</f>
        <v>8.9492994312353438E-4</v>
      </c>
      <c r="V205" s="163">
        <f t="shared" si="13"/>
        <v>4.92875788448677E-3</v>
      </c>
      <c r="W205" s="170">
        <f>V205*$Z$5*10^3</f>
        <v>158.04062156606827</v>
      </c>
    </row>
    <row r="206" spans="1:23">
      <c r="A206" s="5" t="s">
        <v>39</v>
      </c>
      <c r="B206" s="57" t="s">
        <v>57</v>
      </c>
      <c r="C206" s="45">
        <v>30</v>
      </c>
      <c r="D206" s="1">
        <v>7.57</v>
      </c>
      <c r="E206" s="1">
        <v>24.7</v>
      </c>
      <c r="F206" s="1">
        <v>19.5</v>
      </c>
      <c r="G206" s="1">
        <v>7.476</v>
      </c>
      <c r="H206" s="1">
        <v>8.0459999999999994</v>
      </c>
      <c r="I206" s="1"/>
      <c r="J206" s="1"/>
      <c r="K206" s="1"/>
      <c r="L206" s="1">
        <f>1.81*20</f>
        <v>36.200000000000003</v>
      </c>
      <c r="M206" s="1">
        <f>68.2*5</f>
        <v>341</v>
      </c>
      <c r="N206" s="1"/>
      <c r="O206" s="1"/>
      <c r="P206" s="1"/>
      <c r="Q206" s="1"/>
      <c r="R206" s="172"/>
      <c r="S206" s="43">
        <f>10^-G206</f>
        <v>3.3419504002611414E-8</v>
      </c>
      <c r="T206" s="43">
        <f>(M206*10^-3/$Z$4)</f>
        <v>3.549768588399648E-3</v>
      </c>
      <c r="U206" s="1">
        <f>(L206*10^-3/$Z$3)</f>
        <v>1.0621791456089163E-3</v>
      </c>
      <c r="V206" s="163">
        <f t="shared" si="13"/>
        <v>4.6119477340085639E-3</v>
      </c>
      <c r="W206" s="170">
        <f>V206*$Z$5*10^3</f>
        <v>147.8821040909846</v>
      </c>
    </row>
    <row r="207" spans="1:23">
      <c r="A207" s="5" t="s">
        <v>40</v>
      </c>
      <c r="B207" s="57" t="s">
        <v>57</v>
      </c>
      <c r="C207" s="45">
        <v>30</v>
      </c>
      <c r="D207" s="1">
        <v>7.82</v>
      </c>
      <c r="E207" s="1">
        <v>23.4</v>
      </c>
      <c r="F207" s="1">
        <v>19.5</v>
      </c>
      <c r="G207" s="1">
        <v>7.58</v>
      </c>
      <c r="H207" s="1">
        <v>8.1440000000000001</v>
      </c>
      <c r="I207" s="1"/>
      <c r="J207" s="1"/>
      <c r="K207" s="1"/>
      <c r="L207" s="1">
        <f>1.84*25</f>
        <v>46</v>
      </c>
      <c r="M207" s="1">
        <f>63.9*5</f>
        <v>319.5</v>
      </c>
      <c r="N207" s="1"/>
      <c r="O207" s="1"/>
      <c r="P207" s="1"/>
      <c r="Q207" s="1"/>
      <c r="R207" s="1"/>
      <c r="S207" s="43">
        <f>10^-G207</f>
        <v>2.6302679918953758E-8</v>
      </c>
      <c r="T207" s="43">
        <f>(M207*10^-3/$Z$4)</f>
        <v>3.3259561993949777E-3</v>
      </c>
      <c r="U207" s="1">
        <f>(L207*10^-3/$Z$3)</f>
        <v>1.3497304060223797E-3</v>
      </c>
      <c r="V207" s="163">
        <f t="shared" si="13"/>
        <v>4.675686605417357E-3</v>
      </c>
      <c r="W207" s="170">
        <f>V207*$Z$5*10^3</f>
        <v>149.92589100270754</v>
      </c>
    </row>
    <row r="208" spans="1:23">
      <c r="A208" s="5" t="s">
        <v>41</v>
      </c>
      <c r="B208" s="57" t="s">
        <v>57</v>
      </c>
      <c r="C208" s="45">
        <v>30</v>
      </c>
      <c r="D208" s="1">
        <v>7.42</v>
      </c>
      <c r="E208" s="1">
        <v>23.5</v>
      </c>
      <c r="F208" s="1">
        <v>19.5</v>
      </c>
      <c r="G208" s="1">
        <v>7.4809999999999999</v>
      </c>
      <c r="H208" s="1">
        <v>8.0210000000000008</v>
      </c>
      <c r="I208" s="1"/>
      <c r="J208" s="1"/>
      <c r="K208" s="1"/>
      <c r="L208" s="1">
        <f>1.36*25</f>
        <v>34</v>
      </c>
      <c r="M208" s="1">
        <f>68.9*5</f>
        <v>344.5</v>
      </c>
      <c r="N208" s="1"/>
      <c r="O208" s="1"/>
      <c r="P208" s="1"/>
      <c r="Q208" s="1"/>
      <c r="R208" s="1"/>
      <c r="S208" s="43">
        <f>10^-G208</f>
        <v>3.303695410368147E-8</v>
      </c>
      <c r="T208" s="43">
        <f>(M208*10^-3/$Z$4)</f>
        <v>3.5862031633538964E-3</v>
      </c>
      <c r="U208" s="1">
        <f>(L208*10^-3/$Z$3)</f>
        <v>9.9762682184262861E-4</v>
      </c>
      <c r="V208" s="163">
        <f t="shared" si="13"/>
        <v>4.5838299851965253E-3</v>
      </c>
      <c r="W208" s="170">
        <f>V208*$Z$5*10^3</f>
        <v>146.98050847532656</v>
      </c>
    </row>
    <row r="209" spans="1:23">
      <c r="A209" s="5" t="s">
        <v>42</v>
      </c>
      <c r="B209" s="57" t="s">
        <v>57</v>
      </c>
      <c r="C209" s="45">
        <v>30</v>
      </c>
      <c r="D209" s="1">
        <v>6.09</v>
      </c>
      <c r="E209" s="1">
        <v>22</v>
      </c>
      <c r="F209" s="1">
        <v>19.5</v>
      </c>
      <c r="G209" s="1">
        <v>7.3719999999999999</v>
      </c>
      <c r="H209" s="1">
        <v>8.1310000000000002</v>
      </c>
      <c r="I209" s="1">
        <v>-721</v>
      </c>
      <c r="J209" s="1">
        <v>-428.1</v>
      </c>
      <c r="K209" s="1">
        <v>292</v>
      </c>
      <c r="L209" s="1">
        <f>0.544*15</f>
        <v>8.16</v>
      </c>
      <c r="M209" s="1">
        <f>46.4*5</f>
        <v>232</v>
      </c>
      <c r="N209" s="1">
        <f t="shared" ref="N208:N211" si="20">I209/1000</f>
        <v>-0.72099999999999997</v>
      </c>
      <c r="O209" s="1">
        <f t="shared" si="14"/>
        <v>-1.8024999999999998</v>
      </c>
      <c r="P209" s="1">
        <f>I209*N209</f>
        <v>519.84100000000001</v>
      </c>
      <c r="Q209" s="1">
        <f>(P209*10^-6)/D_Calculation_electrode_area!$H$21</f>
        <v>0.14366370200561979</v>
      </c>
      <c r="R209" s="1">
        <f t="shared" si="18"/>
        <v>1.2996024999999997E-3</v>
      </c>
      <c r="S209" s="43">
        <f>10^-G209</f>
        <v>4.24619563946312E-8</v>
      </c>
      <c r="T209" s="43">
        <f>(M209*10^-3/$Z$4)</f>
        <v>2.4150918255387635E-3</v>
      </c>
      <c r="U209" s="1">
        <f>(L209*10^-3/$Z$3)</f>
        <v>2.3943043724223084E-4</v>
      </c>
      <c r="V209" s="163">
        <f t="shared" si="13"/>
        <v>2.6545222627809943E-3</v>
      </c>
      <c r="W209" s="170">
        <f>V209*$Z$5*10^3</f>
        <v>85.117256356072573</v>
      </c>
    </row>
    <row r="210" spans="1:23">
      <c r="A210" s="5" t="s">
        <v>43</v>
      </c>
      <c r="B210" s="57" t="s">
        <v>57</v>
      </c>
      <c r="C210" s="45">
        <v>30</v>
      </c>
      <c r="D210" s="1">
        <v>5.94</v>
      </c>
      <c r="E210" s="1">
        <v>21.6</v>
      </c>
      <c r="F210" s="1">
        <v>19.8</v>
      </c>
      <c r="G210" s="1">
        <v>7.3310000000000004</v>
      </c>
      <c r="H210" s="1">
        <v>8.1020000000000003</v>
      </c>
      <c r="I210" s="1">
        <v>-683</v>
      </c>
      <c r="J210" s="1">
        <v>-396.2</v>
      </c>
      <c r="K210" s="1">
        <v>288</v>
      </c>
      <c r="L210" s="1">
        <f>0.82*15</f>
        <v>12.299999999999999</v>
      </c>
      <c r="M210" s="1">
        <f>89.1*5</f>
        <v>445.5</v>
      </c>
      <c r="N210" s="1">
        <f t="shared" si="20"/>
        <v>-0.68300000000000005</v>
      </c>
      <c r="O210" s="1">
        <f t="shared" si="14"/>
        <v>-1.7075</v>
      </c>
      <c r="P210" s="1">
        <f>I210*N210</f>
        <v>466.48900000000003</v>
      </c>
      <c r="Q210" s="1">
        <f>(P210*10^-6)/D_Calculation_electrode_area!$H$21</f>
        <v>0.12891929779470948</v>
      </c>
      <c r="R210" s="1">
        <f t="shared" si="18"/>
        <v>1.1662224999999999E-3</v>
      </c>
      <c r="S210" s="43">
        <f>10^-G210</f>
        <v>4.6665938031428783E-8</v>
      </c>
      <c r="T210" s="43">
        <f>(M210*10^-3/$Z$4)</f>
        <v>4.6376008977479267E-3</v>
      </c>
      <c r="U210" s="1">
        <f>(L210*10^-3/$Z$3)</f>
        <v>3.6090617378424495E-4</v>
      </c>
      <c r="V210" s="163">
        <f t="shared" ref="V210:V273" si="21">T210+U210</f>
        <v>4.9985070715321718E-3</v>
      </c>
      <c r="W210" s="170">
        <f>V210*$Z$5*10^3</f>
        <v>160.27712924867907</v>
      </c>
    </row>
    <row r="211" spans="1:23">
      <c r="A211" s="34" t="s">
        <v>44</v>
      </c>
      <c r="B211" s="58" t="s">
        <v>57</v>
      </c>
      <c r="C211" s="64">
        <v>30</v>
      </c>
      <c r="D211" s="2">
        <v>5.74</v>
      </c>
      <c r="E211" s="2">
        <v>21.6</v>
      </c>
      <c r="F211" s="2">
        <v>19.899999999999999</v>
      </c>
      <c r="G211" s="2">
        <v>7.4370000000000003</v>
      </c>
      <c r="H211" s="2">
        <v>8.1489999999999991</v>
      </c>
      <c r="I211" s="2">
        <v>-690</v>
      </c>
      <c r="J211" s="2">
        <v>-433</v>
      </c>
      <c r="K211" s="2">
        <v>255</v>
      </c>
      <c r="L211" s="2">
        <f>0.547*15</f>
        <v>8.2050000000000001</v>
      </c>
      <c r="M211" s="2">
        <f>93.8*5</f>
        <v>469</v>
      </c>
      <c r="N211" s="2">
        <f t="shared" si="20"/>
        <v>-0.69</v>
      </c>
      <c r="O211" s="2">
        <f t="shared" si="14"/>
        <v>-1.7249999999999999</v>
      </c>
      <c r="P211" s="2">
        <f>I211*N211</f>
        <v>476.09999999999997</v>
      </c>
      <c r="Q211" s="2">
        <f>(P211*10^-6)/D_Calculation_electrode_area!$H$21</f>
        <v>0.13157540194958761</v>
      </c>
      <c r="R211" s="2">
        <f t="shared" si="18"/>
        <v>1.1902499999999997E-3</v>
      </c>
      <c r="S211" s="78">
        <f>10^-G211</f>
        <v>3.6559479161312436E-8</v>
      </c>
      <c r="T211" s="78">
        <f>(M211*10^-3/$Z$4)</f>
        <v>4.8822330438693107E-3</v>
      </c>
      <c r="U211" s="2">
        <f>(L211*10^-3/$Z$3)</f>
        <v>2.4075082568290491E-4</v>
      </c>
      <c r="V211" s="166">
        <f t="shared" si="21"/>
        <v>5.1229838695522152E-3</v>
      </c>
      <c r="W211" s="174">
        <f>V211*$Z$5*10^3</f>
        <v>164.26847777719178</v>
      </c>
    </row>
    <row r="212" spans="1:23">
      <c r="A212" s="35" t="s">
        <v>23</v>
      </c>
      <c r="B212" s="59">
        <v>8.4</v>
      </c>
      <c r="C212" s="62">
        <v>32</v>
      </c>
      <c r="D212" s="12">
        <v>5.62</v>
      </c>
      <c r="E212" s="12">
        <v>22.3</v>
      </c>
      <c r="F212" s="12">
        <v>19.399999999999999</v>
      </c>
      <c r="G212" s="12">
        <v>6.8540000000000001</v>
      </c>
      <c r="H212" s="12">
        <v>8.8940000000000001</v>
      </c>
      <c r="I212" s="12">
        <v>-189.45</v>
      </c>
      <c r="J212" s="12">
        <v>-313.19</v>
      </c>
      <c r="K212" s="12">
        <v>-123.37</v>
      </c>
      <c r="L212" s="12"/>
      <c r="M212" s="12"/>
      <c r="N212" s="12">
        <f>I212/1000</f>
        <v>-0.18944999999999998</v>
      </c>
      <c r="O212" s="12">
        <f t="shared" si="14"/>
        <v>-0.47362499999999991</v>
      </c>
      <c r="P212" s="12">
        <f>I212*N212</f>
        <v>35.891302499999995</v>
      </c>
      <c r="Q212" s="12">
        <f>(P212*10^-6)/D_Calculation_electrode_area!$H$22</f>
        <v>1.9939608491631892E-9</v>
      </c>
      <c r="R212" s="168">
        <f t="shared" si="18"/>
        <v>8.9728256249999985E-5</v>
      </c>
      <c r="S212" s="63">
        <f>10^-G212</f>
        <v>1.3995873225726164E-7</v>
      </c>
      <c r="T212" s="63"/>
      <c r="U212" s="12"/>
      <c r="V212" s="162"/>
      <c r="W212" s="169">
        <f>V212*$Z$5*10^3</f>
        <v>0</v>
      </c>
    </row>
    <row r="213" spans="1:23">
      <c r="A213" s="5" t="s">
        <v>27</v>
      </c>
      <c r="B213" s="57">
        <v>8.4</v>
      </c>
      <c r="C213" s="45">
        <v>32</v>
      </c>
      <c r="D213" s="1">
        <v>5.71</v>
      </c>
      <c r="E213" s="1">
        <v>23.1</v>
      </c>
      <c r="F213" s="1">
        <v>19.100000000000001</v>
      </c>
      <c r="G213" s="1">
        <v>6.681</v>
      </c>
      <c r="H213" s="1">
        <v>8.8800000000000008</v>
      </c>
      <c r="I213" s="1">
        <v>-180.81</v>
      </c>
      <c r="J213" s="1">
        <v>-316.07</v>
      </c>
      <c r="K213" s="1">
        <v>-133.88999999999999</v>
      </c>
      <c r="L213" s="1"/>
      <c r="M213" s="1"/>
      <c r="N213" s="1">
        <f t="shared" ref="N213:N226" si="22">I213/1000</f>
        <v>-0.18081</v>
      </c>
      <c r="O213" s="1">
        <f t="shared" si="14"/>
        <v>-0.45202499999999995</v>
      </c>
      <c r="P213" s="1">
        <f>I213*N213</f>
        <v>32.692256100000002</v>
      </c>
      <c r="Q213" s="1">
        <f>(P213*10^-6)/D_Calculation_electrode_area!$H$22</f>
        <v>1.8162360848903845E-9</v>
      </c>
      <c r="R213" s="1">
        <f t="shared" si="18"/>
        <v>8.1730640250000008E-5</v>
      </c>
      <c r="S213" s="43">
        <f>10^-G213</f>
        <v>2.0844908830972873E-7</v>
      </c>
      <c r="T213" s="43"/>
      <c r="U213" s="1"/>
      <c r="V213" s="163"/>
      <c r="W213" s="170">
        <f>V213*$Z$5*10^3</f>
        <v>0</v>
      </c>
    </row>
    <row r="214" spans="1:23">
      <c r="A214" s="5" t="s">
        <v>30</v>
      </c>
      <c r="B214" s="57">
        <v>8.4</v>
      </c>
      <c r="C214" s="45">
        <v>32</v>
      </c>
      <c r="D214" s="1">
        <v>5.72</v>
      </c>
      <c r="E214" s="1">
        <v>23.3</v>
      </c>
      <c r="F214" s="1">
        <v>19.2</v>
      </c>
      <c r="G214" s="1">
        <v>6.7190000000000003</v>
      </c>
      <c r="H214" s="1">
        <v>8.8520000000000003</v>
      </c>
      <c r="I214" s="1">
        <v>-150.72</v>
      </c>
      <c r="J214" s="1">
        <v>-336.38</v>
      </c>
      <c r="K214" s="1">
        <v>-185.66</v>
      </c>
      <c r="L214" s="1"/>
      <c r="M214" s="1"/>
      <c r="N214" s="1">
        <f t="shared" si="22"/>
        <v>-0.15071999999999999</v>
      </c>
      <c r="O214" s="1">
        <f t="shared" si="14"/>
        <v>-0.37679999999999997</v>
      </c>
      <c r="P214" s="1">
        <f>I214*N214</f>
        <v>22.716518399999998</v>
      </c>
      <c r="Q214" s="1">
        <f>(P214*10^-6)/D_Calculation_electrode_area!$H$22</f>
        <v>1.2620285463001855E-9</v>
      </c>
      <c r="R214" s="1">
        <f t="shared" si="15"/>
        <v>5.6791295999999988E-5</v>
      </c>
      <c r="S214" s="43">
        <f>10^-G214</f>
        <v>1.9098532585662329E-7</v>
      </c>
      <c r="T214" s="43"/>
      <c r="U214" s="1"/>
      <c r="V214" s="163"/>
      <c r="W214" s="170">
        <f>V214*$Z$5*10^3</f>
        <v>0</v>
      </c>
    </row>
    <row r="215" spans="1:23">
      <c r="A215" s="5" t="s">
        <v>32</v>
      </c>
      <c r="B215" s="57">
        <v>8.4</v>
      </c>
      <c r="C215" s="45">
        <v>32</v>
      </c>
      <c r="D215" s="1">
        <v>6.08</v>
      </c>
      <c r="E215" s="1">
        <v>22.7</v>
      </c>
      <c r="F215" s="1">
        <v>19.3</v>
      </c>
      <c r="G215" s="1">
        <v>7.4530000000000003</v>
      </c>
      <c r="H215" s="1">
        <v>7.7210000000000001</v>
      </c>
      <c r="I215" s="1">
        <v>-845</v>
      </c>
      <c r="J215" s="1">
        <v>-428.72</v>
      </c>
      <c r="K215" s="1">
        <v>276.82</v>
      </c>
      <c r="L215" s="1"/>
      <c r="M215" s="1"/>
      <c r="N215" s="1">
        <f t="shared" si="22"/>
        <v>-0.84499999999999997</v>
      </c>
      <c r="O215" s="1">
        <f t="shared" si="14"/>
        <v>-2.1124999999999998</v>
      </c>
      <c r="P215" s="1">
        <f>I215*N215</f>
        <v>714.02499999999998</v>
      </c>
      <c r="Q215" s="1">
        <f>(P215*10^-6)/D_Calculation_electrode_area!$H$22</f>
        <v>3.9668047581269762E-8</v>
      </c>
      <c r="R215" s="1">
        <f t="shared" si="15"/>
        <v>1.7850624999999998E-3</v>
      </c>
      <c r="S215" s="43">
        <f>10^-G215</f>
        <v>3.5237087104248644E-8</v>
      </c>
      <c r="T215" s="43"/>
      <c r="U215" s="1"/>
      <c r="V215" s="163"/>
      <c r="W215" s="170">
        <f>V215*$Z$5*10^3</f>
        <v>0</v>
      </c>
    </row>
    <row r="216" spans="1:23">
      <c r="A216" s="5" t="s">
        <v>34</v>
      </c>
      <c r="B216" s="57">
        <v>8.4</v>
      </c>
      <c r="C216" s="45">
        <v>32</v>
      </c>
      <c r="D216" s="1">
        <v>6.64</v>
      </c>
      <c r="E216" s="1">
        <v>22.8</v>
      </c>
      <c r="F216" s="1">
        <v>19.3</v>
      </c>
      <c r="G216" s="1">
        <v>7.5739999999999998</v>
      </c>
      <c r="H216" s="1">
        <v>7.8440000000000003</v>
      </c>
      <c r="I216" s="1">
        <v>-784.1</v>
      </c>
      <c r="J216" s="1">
        <v>-447.33</v>
      </c>
      <c r="K216" s="1">
        <v>319.04000000000002</v>
      </c>
      <c r="L216" s="1"/>
      <c r="M216" s="1"/>
      <c r="N216" s="1">
        <f t="shared" si="22"/>
        <v>-0.78410000000000002</v>
      </c>
      <c r="O216" s="1">
        <f t="shared" si="14"/>
        <v>-1.96025</v>
      </c>
      <c r="P216" s="1">
        <f>I216*N216</f>
        <v>614.81281000000001</v>
      </c>
      <c r="Q216" s="1">
        <f>(P216*10^-6)/D_Calculation_electrode_area!$H$22</f>
        <v>3.4156260355945752E-8</v>
      </c>
      <c r="R216" s="1">
        <f t="shared" si="15"/>
        <v>1.5370320249999999E-3</v>
      </c>
      <c r="S216" s="43">
        <f>10^-G216</f>
        <v>2.6668586645214757E-8</v>
      </c>
      <c r="T216" s="43"/>
      <c r="U216" s="1"/>
      <c r="V216" s="163"/>
      <c r="W216" s="170">
        <f>V216*$Z$5*10^3</f>
        <v>0</v>
      </c>
    </row>
    <row r="217" spans="1:23">
      <c r="A217" s="5" t="s">
        <v>35</v>
      </c>
      <c r="B217" s="57">
        <v>8.4</v>
      </c>
      <c r="C217" s="45">
        <v>32</v>
      </c>
      <c r="D217" s="1">
        <v>6.67</v>
      </c>
      <c r="E217" s="1">
        <v>22.5</v>
      </c>
      <c r="F217" s="1">
        <v>19.399999999999999</v>
      </c>
      <c r="G217" s="1">
        <v>7.5309999999999997</v>
      </c>
      <c r="H217" s="1">
        <v>7.7640000000000002</v>
      </c>
      <c r="I217" s="1">
        <v>-785.3</v>
      </c>
      <c r="J217" s="1">
        <v>-433.77</v>
      </c>
      <c r="K217" s="1">
        <v>352.71</v>
      </c>
      <c r="L217" s="1"/>
      <c r="M217" s="1"/>
      <c r="N217" s="1">
        <f t="shared" si="22"/>
        <v>-0.7853</v>
      </c>
      <c r="O217" s="1">
        <f t="shared" si="14"/>
        <v>-1.9632499999999999</v>
      </c>
      <c r="P217" s="1">
        <f>I217*N217</f>
        <v>616.69608999999991</v>
      </c>
      <c r="Q217" s="1">
        <f>(P217*10^-6)/D_Calculation_electrode_area!$H$22</f>
        <v>3.4260887001579794E-8</v>
      </c>
      <c r="R217" s="1">
        <f t="shared" si="15"/>
        <v>1.5417402249999995E-3</v>
      </c>
      <c r="S217" s="43">
        <f>10^-G217</f>
        <v>2.9444216337987621E-8</v>
      </c>
      <c r="T217" s="43"/>
      <c r="U217" s="1"/>
      <c r="V217" s="163"/>
      <c r="W217" s="170">
        <f>V217*$Z$5*10^3</f>
        <v>0</v>
      </c>
    </row>
    <row r="218" spans="1:23">
      <c r="A218" s="5" t="s">
        <v>36</v>
      </c>
      <c r="B218" s="57">
        <v>8.4</v>
      </c>
      <c r="C218" s="45">
        <v>32</v>
      </c>
      <c r="D218" s="1">
        <v>6.77</v>
      </c>
      <c r="E218" s="1">
        <v>22.4</v>
      </c>
      <c r="F218" s="1">
        <v>19.3</v>
      </c>
      <c r="G218" s="1">
        <v>6.6230000000000002</v>
      </c>
      <c r="H218" s="1">
        <v>8.91</v>
      </c>
      <c r="I218" s="1">
        <v>-122.55</v>
      </c>
      <c r="J218" s="1">
        <v>-70.23</v>
      </c>
      <c r="K218" s="1">
        <v>52.5</v>
      </c>
      <c r="L218" s="1"/>
      <c r="M218" s="1"/>
      <c r="N218" s="1">
        <f t="shared" si="22"/>
        <v>-0.12254999999999999</v>
      </c>
      <c r="O218" s="1">
        <f t="shared" si="14"/>
        <v>-0.30637499999999995</v>
      </c>
      <c r="P218" s="1">
        <f>I218*N218</f>
        <v>15.018502499999999</v>
      </c>
      <c r="Q218" s="1">
        <f>(P218*10^-6)/D_Calculation_electrode_area!$H$21</f>
        <v>4.1505261565183502E-3</v>
      </c>
      <c r="R218" s="1">
        <f t="shared" si="15"/>
        <v>3.7546256249999988E-5</v>
      </c>
      <c r="S218" s="43">
        <f>10^-G218</f>
        <v>2.3823194693586833E-7</v>
      </c>
      <c r="T218" s="43"/>
      <c r="U218" s="1"/>
      <c r="V218" s="163"/>
      <c r="W218" s="170">
        <f>V218*$Z$5*10^3</f>
        <v>0</v>
      </c>
    </row>
    <row r="219" spans="1:23">
      <c r="A219" s="5" t="s">
        <v>37</v>
      </c>
      <c r="B219" s="57">
        <v>8.4</v>
      </c>
      <c r="C219" s="45">
        <v>32</v>
      </c>
      <c r="D219" s="1">
        <v>6.49</v>
      </c>
      <c r="E219" s="1">
        <v>22.5</v>
      </c>
      <c r="F219" s="1">
        <v>19.3</v>
      </c>
      <c r="G219" s="1">
        <v>6.867</v>
      </c>
      <c r="H219" s="1">
        <v>8.6159999999999997</v>
      </c>
      <c r="I219" s="1">
        <v>-56.57</v>
      </c>
      <c r="J219" s="1">
        <v>154.28</v>
      </c>
      <c r="K219" s="1">
        <v>211.01</v>
      </c>
      <c r="L219" s="1"/>
      <c r="M219" s="1"/>
      <c r="N219" s="1">
        <f t="shared" si="22"/>
        <v>-5.6570000000000002E-2</v>
      </c>
      <c r="O219" s="1">
        <f t="shared" si="14"/>
        <v>-0.141425</v>
      </c>
      <c r="P219" s="1">
        <f>I219*N219</f>
        <v>3.2001649000000003</v>
      </c>
      <c r="Q219" s="1">
        <f>(P219*10^-6)/D_Calculation_electrode_area!$H$21</f>
        <v>8.8440030040424686E-4</v>
      </c>
      <c r="R219" s="1">
        <f t="shared" si="15"/>
        <v>8.000412249999999E-6</v>
      </c>
      <c r="S219" s="43">
        <f>10^-G219</f>
        <v>1.3583134465871521E-7</v>
      </c>
      <c r="T219" s="43"/>
      <c r="U219" s="1"/>
      <c r="V219" s="163"/>
      <c r="W219" s="170">
        <f>V219*$Z$5*10^3</f>
        <v>0</v>
      </c>
    </row>
    <row r="220" spans="1:23">
      <c r="A220" s="5" t="s">
        <v>38</v>
      </c>
      <c r="B220" s="57">
        <v>8.4</v>
      </c>
      <c r="C220" s="45">
        <v>32</v>
      </c>
      <c r="D220" s="1">
        <v>6.63</v>
      </c>
      <c r="E220" s="1">
        <v>22.3</v>
      </c>
      <c r="F220" s="1">
        <v>19.3</v>
      </c>
      <c r="G220" s="1">
        <v>6.9969999999999999</v>
      </c>
      <c r="H220" s="1">
        <v>8.5429999999999993</v>
      </c>
      <c r="I220" s="1">
        <v>-57.3</v>
      </c>
      <c r="J220" s="1">
        <v>135.53</v>
      </c>
      <c r="K220" s="1">
        <v>193.07</v>
      </c>
      <c r="L220" s="1"/>
      <c r="M220" s="1"/>
      <c r="N220" s="1">
        <f t="shared" si="22"/>
        <v>-5.7299999999999997E-2</v>
      </c>
      <c r="O220" s="1">
        <f t="shared" si="14"/>
        <v>-0.14324999999999999</v>
      </c>
      <c r="P220" s="1">
        <f>I220*N220</f>
        <v>3.2832899999999996</v>
      </c>
      <c r="Q220" s="1">
        <f>(P220*10^-6)/D_Calculation_electrode_area!$H$21</f>
        <v>9.0737282391737339E-4</v>
      </c>
      <c r="R220" s="1">
        <f t="shared" si="15"/>
        <v>8.2082249999999971E-6</v>
      </c>
      <c r="S220" s="43">
        <f>10^-G220</f>
        <v>1.0069316688518021E-7</v>
      </c>
      <c r="T220" s="43"/>
      <c r="U220" s="1"/>
      <c r="V220" s="163"/>
      <c r="W220" s="170">
        <f>V220*$Z$5*10^3</f>
        <v>0</v>
      </c>
    </row>
    <row r="221" spans="1:23">
      <c r="A221" s="5" t="s">
        <v>39</v>
      </c>
      <c r="B221" s="57">
        <v>8.4</v>
      </c>
      <c r="C221" s="45">
        <v>32</v>
      </c>
      <c r="D221" s="1">
        <v>6.24</v>
      </c>
      <c r="E221" s="1">
        <v>24.2</v>
      </c>
      <c r="F221" s="1">
        <v>19.399999999999999</v>
      </c>
      <c r="G221" s="1">
        <v>7.4909999999999997</v>
      </c>
      <c r="H221" s="1">
        <v>8.0670000000000002</v>
      </c>
      <c r="I221" s="1"/>
      <c r="J221" s="1"/>
      <c r="K221" s="1"/>
      <c r="L221" s="1"/>
      <c r="M221" s="1"/>
      <c r="N221" s="1"/>
      <c r="O221" s="1"/>
      <c r="P221" s="1"/>
      <c r="Q221" s="1"/>
      <c r="R221" s="172"/>
      <c r="S221" s="43">
        <f>10^-G221</f>
        <v>3.2284941217126346E-8</v>
      </c>
      <c r="T221" s="43"/>
      <c r="U221" s="1"/>
      <c r="V221" s="163"/>
      <c r="W221" s="170">
        <f>V221*$Z$5*10^3</f>
        <v>0</v>
      </c>
    </row>
    <row r="222" spans="1:23">
      <c r="A222" s="5" t="s">
        <v>40</v>
      </c>
      <c r="B222" s="57">
        <v>8.4</v>
      </c>
      <c r="C222" s="45">
        <v>32</v>
      </c>
      <c r="D222" s="1">
        <v>6.79</v>
      </c>
      <c r="E222" s="1">
        <v>23</v>
      </c>
      <c r="F222" s="1">
        <v>19.399999999999999</v>
      </c>
      <c r="G222" s="1">
        <v>7.5750000000000002</v>
      </c>
      <c r="H222" s="1">
        <v>8.1210000000000004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43">
        <f>10^-G222</f>
        <v>2.6607250597988034E-8</v>
      </c>
      <c r="T222" s="43"/>
      <c r="U222" s="1"/>
      <c r="V222" s="163"/>
      <c r="W222" s="170">
        <f>V222*$Z$5*10^3</f>
        <v>0</v>
      </c>
    </row>
    <row r="223" spans="1:23">
      <c r="A223" s="5" t="s">
        <v>41</v>
      </c>
      <c r="B223" s="57">
        <v>8.4</v>
      </c>
      <c r="C223" s="45">
        <v>32</v>
      </c>
      <c r="D223" s="1">
        <v>6.38</v>
      </c>
      <c r="E223" s="1">
        <v>23.1</v>
      </c>
      <c r="F223" s="1">
        <v>19.399999999999999</v>
      </c>
      <c r="G223" s="1">
        <v>7.4880000000000004</v>
      </c>
      <c r="H223" s="1">
        <v>8.0559999999999992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43">
        <f>10^-G223</f>
        <v>3.2508729738543379E-8</v>
      </c>
      <c r="T223" s="43"/>
      <c r="U223" s="1"/>
      <c r="V223" s="163"/>
      <c r="W223" s="170">
        <f>V223*$Z$5*10^3</f>
        <v>0</v>
      </c>
    </row>
    <row r="224" spans="1:23">
      <c r="A224" s="5" t="s">
        <v>42</v>
      </c>
      <c r="B224" s="57">
        <v>8.4</v>
      </c>
      <c r="C224" s="45">
        <v>32</v>
      </c>
      <c r="D224" s="1">
        <v>6.96</v>
      </c>
      <c r="E224" s="1">
        <v>21.5</v>
      </c>
      <c r="F224" s="1">
        <v>19.8</v>
      </c>
      <c r="G224" s="1">
        <v>7.4009999999999998</v>
      </c>
      <c r="H224" s="1">
        <v>8.1479999999999997</v>
      </c>
      <c r="I224" s="1">
        <v>-723.8</v>
      </c>
      <c r="J224" s="1">
        <v>-430.18</v>
      </c>
      <c r="K224" s="1">
        <v>294.45</v>
      </c>
      <c r="L224" s="1"/>
      <c r="M224" s="1"/>
      <c r="N224" s="1">
        <f t="shared" ref="N223:N226" si="23">I224/1000</f>
        <v>-0.7238</v>
      </c>
      <c r="O224" s="1">
        <f t="shared" si="14"/>
        <v>-1.8094999999999999</v>
      </c>
      <c r="P224" s="1">
        <f>I224*N224</f>
        <v>523.88643999999999</v>
      </c>
      <c r="Q224" s="1">
        <f>(P224*10^-6)/D_Calculation_electrode_area!$H$21</f>
        <v>0.14478170325338904</v>
      </c>
      <c r="R224" s="1">
        <f t="shared" si="18"/>
        <v>1.3097160999999999E-3</v>
      </c>
      <c r="S224" s="43">
        <f>10^-G224</f>
        <v>3.9719154946943987E-8</v>
      </c>
      <c r="T224" s="43"/>
      <c r="U224" s="1"/>
      <c r="V224" s="163"/>
      <c r="W224" s="170">
        <f>V224*$Z$5*10^3</f>
        <v>0</v>
      </c>
    </row>
    <row r="225" spans="1:23">
      <c r="A225" s="5" t="s">
        <v>43</v>
      </c>
      <c r="B225" s="57">
        <v>8.4</v>
      </c>
      <c r="C225" s="45">
        <v>32</v>
      </c>
      <c r="D225" s="1">
        <v>6.76</v>
      </c>
      <c r="E225" s="1">
        <v>21.2</v>
      </c>
      <c r="F225" s="1">
        <v>19.7</v>
      </c>
      <c r="G225" s="1">
        <v>7.35</v>
      </c>
      <c r="H225" s="1">
        <v>8.0950000000000006</v>
      </c>
      <c r="I225" s="1">
        <v>-680.4</v>
      </c>
      <c r="J225" s="1">
        <v>-377.4</v>
      </c>
      <c r="K225" s="1">
        <v>302.82</v>
      </c>
      <c r="L225" s="1"/>
      <c r="M225" s="1"/>
      <c r="N225" s="1">
        <f t="shared" si="23"/>
        <v>-0.6804</v>
      </c>
      <c r="O225" s="1">
        <f t="shared" si="14"/>
        <v>-1.7009999999999998</v>
      </c>
      <c r="P225" s="1">
        <f>I225*N225</f>
        <v>462.94416000000001</v>
      </c>
      <c r="Q225" s="1">
        <f>(P225*10^-6)/D_Calculation_electrode_area!$H$21</f>
        <v>0.1279396427897799</v>
      </c>
      <c r="R225" s="1">
        <f t="shared" si="18"/>
        <v>1.1573603999999998E-3</v>
      </c>
      <c r="S225" s="43">
        <f>10^-G225</f>
        <v>4.466835921509628E-8</v>
      </c>
      <c r="T225" s="43"/>
      <c r="U225" s="1"/>
      <c r="V225" s="163"/>
      <c r="W225" s="170">
        <f>V225*$Z$5*10^3</f>
        <v>0</v>
      </c>
    </row>
    <row r="226" spans="1:23">
      <c r="A226" s="6" t="s">
        <v>44</v>
      </c>
      <c r="B226" s="60">
        <v>8.4</v>
      </c>
      <c r="C226" s="46">
        <v>32</v>
      </c>
      <c r="D226" s="3">
        <v>6.31</v>
      </c>
      <c r="E226" s="3">
        <v>21.3</v>
      </c>
      <c r="F226" s="3">
        <v>19.600000000000001</v>
      </c>
      <c r="G226" s="3">
        <v>7.4509999999999996</v>
      </c>
      <c r="H226" s="3">
        <v>8.1379999999999999</v>
      </c>
      <c r="I226" s="3">
        <v>-722.2</v>
      </c>
      <c r="J226" s="3">
        <v>-434.48</v>
      </c>
      <c r="K226" s="3">
        <v>289.74</v>
      </c>
      <c r="L226" s="3"/>
      <c r="M226" s="3"/>
      <c r="N226" s="3">
        <f t="shared" si="23"/>
        <v>-0.72220000000000006</v>
      </c>
      <c r="O226" s="3">
        <f t="shared" si="14"/>
        <v>-1.8055000000000001</v>
      </c>
      <c r="P226" s="3">
        <f>I226*N226</f>
        <v>521.57284000000004</v>
      </c>
      <c r="Q226" s="3">
        <f>(P226*10^-6)/D_Calculation_electrode_area!$H$21</f>
        <v>0.14414231478468381</v>
      </c>
      <c r="R226" s="3">
        <f t="shared" si="18"/>
        <v>1.3039320999999999E-3</v>
      </c>
      <c r="S226" s="77">
        <f>10^-G226</f>
        <v>3.5399734108343449E-8</v>
      </c>
      <c r="T226" s="77"/>
      <c r="U226" s="3"/>
      <c r="V226" s="164"/>
      <c r="W226" s="171">
        <f>V226*$Z$5*10^3</f>
        <v>0</v>
      </c>
    </row>
    <row r="227" spans="1:23">
      <c r="A227" s="7" t="s">
        <v>23</v>
      </c>
      <c r="B227" s="61">
        <v>11.4</v>
      </c>
      <c r="C227" s="65">
        <v>35</v>
      </c>
      <c r="D227" s="4">
        <v>5.88</v>
      </c>
      <c r="E227" s="4">
        <v>22.4</v>
      </c>
      <c r="F227" s="4">
        <v>19.399999999999999</v>
      </c>
      <c r="G227" s="4">
        <v>6.8739999999999997</v>
      </c>
      <c r="H227" s="4">
        <v>8.8469999999999995</v>
      </c>
      <c r="I227" s="4">
        <v>-511</v>
      </c>
      <c r="J227" s="4">
        <v>-321.72000000000003</v>
      </c>
      <c r="K227" s="4">
        <v>188.21</v>
      </c>
      <c r="L227" s="4">
        <f>0.186*8</f>
        <v>1.488</v>
      </c>
      <c r="M227" s="4">
        <f>135*3</f>
        <v>405</v>
      </c>
      <c r="N227" s="4">
        <f>I227/4700</f>
        <v>-0.10872340425531915</v>
      </c>
      <c r="O227" s="4">
        <f t="shared" si="14"/>
        <v>-0.27180851063829786</v>
      </c>
      <c r="P227" s="4">
        <f>I227*N227</f>
        <v>55.557659574468083</v>
      </c>
      <c r="Q227" s="4">
        <f>(P227*10^-6)/D_Calculation_electrode_area!$H$22</f>
        <v>3.0865360225538143E-9</v>
      </c>
      <c r="R227" s="172">
        <f t="shared" si="18"/>
        <v>1.3889414893617018E-4</v>
      </c>
      <c r="S227" s="167">
        <f>10^-G227</f>
        <v>1.3365955165464408E-7</v>
      </c>
      <c r="T227" s="167">
        <f>(M227*10^-3/$Z$4)</f>
        <v>4.2160008161344787E-3</v>
      </c>
      <c r="U227" s="4">
        <f>(L227*10^-3/$Z$3)</f>
        <v>4.3660844438289149E-5</v>
      </c>
      <c r="V227" s="165">
        <f t="shared" si="21"/>
        <v>4.259661660572768E-3</v>
      </c>
      <c r="W227" s="173">
        <f>V227*$Z$5*10^3</f>
        <v>136.58605114626579</v>
      </c>
    </row>
    <row r="228" spans="1:23">
      <c r="A228" s="5" t="s">
        <v>27</v>
      </c>
      <c r="B228" s="57">
        <v>11.4</v>
      </c>
      <c r="C228" s="45">
        <v>35</v>
      </c>
      <c r="D228" s="1">
        <v>6.73</v>
      </c>
      <c r="E228" s="1">
        <v>23.2</v>
      </c>
      <c r="F228" s="1">
        <v>19.600000000000001</v>
      </c>
      <c r="G228" s="1">
        <v>7.0170000000000003</v>
      </c>
      <c r="H228" s="1">
        <v>8.8279999999999994</v>
      </c>
      <c r="I228" s="1">
        <v>-512.70000000000005</v>
      </c>
      <c r="J228" s="1">
        <v>-330.81</v>
      </c>
      <c r="K228" s="1">
        <v>178.01</v>
      </c>
      <c r="L228" s="1">
        <f>0.38*8</f>
        <v>3.04</v>
      </c>
      <c r="M228" s="1">
        <f>128*3</f>
        <v>384</v>
      </c>
      <c r="N228" s="1">
        <f>I228/4700</f>
        <v>-0.10908510638297873</v>
      </c>
      <c r="O228" s="1">
        <f t="shared" ref="O228:O291" si="24">N228/0.4</f>
        <v>-0.27271276595744681</v>
      </c>
      <c r="P228" s="1">
        <f>I228*N228</f>
        <v>55.927934042553204</v>
      </c>
      <c r="Q228" s="1">
        <f>(P228*10^-6)/D_Calculation_electrode_area!$H$22</f>
        <v>3.1071068222010676E-9</v>
      </c>
      <c r="R228" s="1">
        <f t="shared" si="18"/>
        <v>1.3981983510638301E-4</v>
      </c>
      <c r="S228" s="43">
        <f>10^-G228</f>
        <v>9.6161227838366291E-8</v>
      </c>
      <c r="T228" s="43">
        <f>(M228*10^-3/$Z$4)</f>
        <v>3.9973933664089875E-3</v>
      </c>
      <c r="U228" s="1">
        <f>(L228*10^-3/$Z$3)</f>
        <v>8.9199574658870319E-5</v>
      </c>
      <c r="V228" s="163">
        <f t="shared" si="21"/>
        <v>4.0865929410678582E-3</v>
      </c>
      <c r="W228" s="170">
        <f>V228*$Z$5*10^3</f>
        <v>131.03660265534086</v>
      </c>
    </row>
    <row r="229" spans="1:23">
      <c r="A229" s="5" t="s">
        <v>30</v>
      </c>
      <c r="B229" s="57">
        <v>11.4</v>
      </c>
      <c r="C229" s="45">
        <v>35</v>
      </c>
      <c r="D229" s="1">
        <v>6.52</v>
      </c>
      <c r="E229" s="1">
        <v>23.1</v>
      </c>
      <c r="F229" s="1">
        <v>19.399999999999999</v>
      </c>
      <c r="G229" s="1">
        <v>6.8029999999999999</v>
      </c>
      <c r="H229" s="1">
        <v>8.9789999999999992</v>
      </c>
      <c r="I229" s="1">
        <v>-113.83</v>
      </c>
      <c r="J229" s="1">
        <v>-289.01</v>
      </c>
      <c r="K229" s="1">
        <v>-89.01</v>
      </c>
      <c r="L229" s="1">
        <f>0.136*8</f>
        <v>1.0880000000000001</v>
      </c>
      <c r="M229" s="1">
        <f>129*3</f>
        <v>387</v>
      </c>
      <c r="N229" s="1">
        <f>I229/560</f>
        <v>-0.20326785714285714</v>
      </c>
      <c r="O229" s="1">
        <f t="shared" si="24"/>
        <v>-0.50816964285714283</v>
      </c>
      <c r="P229" s="1">
        <f>I229*N229</f>
        <v>23.137980178571429</v>
      </c>
      <c r="Q229" s="1">
        <f>(P229*10^-6)/D_Calculation_electrode_area!$H$22</f>
        <v>1.2854430848472365E-9</v>
      </c>
      <c r="R229" s="1">
        <f t="shared" si="15"/>
        <v>5.7844950446428568E-5</v>
      </c>
      <c r="S229" s="43">
        <f>10^-G229</f>
        <v>1.5739828644662178E-7</v>
      </c>
      <c r="T229" s="43">
        <f>(M229*10^-3/$Z$4)</f>
        <v>4.028623002084058E-3</v>
      </c>
      <c r="U229" s="1">
        <f>(L229*10^-3/$Z$3)</f>
        <v>3.1924058298964114E-5</v>
      </c>
      <c r="V229" s="163">
        <f t="shared" si="21"/>
        <v>4.0605470603830218E-3</v>
      </c>
      <c r="W229" s="170">
        <f>V229*$Z$5*10^3</f>
        <v>130.20144149118158</v>
      </c>
    </row>
    <row r="230" spans="1:23">
      <c r="A230" s="5" t="s">
        <v>32</v>
      </c>
      <c r="B230" s="57">
        <v>11.4</v>
      </c>
      <c r="C230" s="45">
        <v>35</v>
      </c>
      <c r="D230" s="1">
        <v>7.07</v>
      </c>
      <c r="E230" s="1">
        <v>22.7</v>
      </c>
      <c r="F230" s="1">
        <v>19.5</v>
      </c>
      <c r="G230" s="1">
        <v>7.5679999999999996</v>
      </c>
      <c r="H230" s="1">
        <v>7.9290000000000003</v>
      </c>
      <c r="I230" s="1">
        <v>-745.8</v>
      </c>
      <c r="J230" s="1">
        <v>-415.2</v>
      </c>
      <c r="K230" s="1">
        <v>381.72</v>
      </c>
      <c r="L230" s="1">
        <f>0.897*8</f>
        <v>7.1760000000000002</v>
      </c>
      <c r="M230" s="1">
        <f>99.1*3</f>
        <v>297.29999999999995</v>
      </c>
      <c r="N230" s="1">
        <f t="shared" ref="N228:N241" si="25">I230/1000</f>
        <v>-0.74579999999999991</v>
      </c>
      <c r="O230" s="1">
        <f t="shared" si="24"/>
        <v>-1.8644999999999996</v>
      </c>
      <c r="P230" s="1">
        <f>I230*N230</f>
        <v>556.21763999999985</v>
      </c>
      <c r="Q230" s="1">
        <f>(P230*10^-6)/D_Calculation_electrode_area!$H$22</f>
        <v>3.0900973788118862E-8</v>
      </c>
      <c r="R230" s="1">
        <f t="shared" si="15"/>
        <v>1.3905440999999995E-3</v>
      </c>
      <c r="S230" s="43">
        <f>10^-G230</f>
        <v>2.7039583641088416E-8</v>
      </c>
      <c r="T230" s="43">
        <f>(M230*10^-3/$Z$4)</f>
        <v>3.0948568953994577E-3</v>
      </c>
      <c r="U230" s="1">
        <f>(L230*10^-3/$Z$3)</f>
        <v>2.1055794333949124E-4</v>
      </c>
      <c r="V230" s="163">
        <f t="shared" si="21"/>
        <v>3.305414838738949E-3</v>
      </c>
      <c r="W230" s="170">
        <f>V230*$Z$5*10^3</f>
        <v>105.98812680416439</v>
      </c>
    </row>
    <row r="231" spans="1:23">
      <c r="A231" s="5" t="s">
        <v>34</v>
      </c>
      <c r="B231" s="57">
        <v>11.4</v>
      </c>
      <c r="C231" s="45">
        <v>35</v>
      </c>
      <c r="D231" s="1">
        <v>6.77</v>
      </c>
      <c r="E231" s="1">
        <v>22.7</v>
      </c>
      <c r="F231" s="1">
        <v>19.600000000000001</v>
      </c>
      <c r="G231" s="1">
        <v>7.7060000000000004</v>
      </c>
      <c r="H231" s="1">
        <v>7.7969999999999997</v>
      </c>
      <c r="I231" s="1">
        <v>-775.4</v>
      </c>
      <c r="J231" s="1">
        <v>-432.89</v>
      </c>
      <c r="K231" s="1">
        <v>351.2</v>
      </c>
      <c r="L231" s="1">
        <f>1.54*8</f>
        <v>12.32</v>
      </c>
      <c r="M231" s="1">
        <f>101*3</f>
        <v>303</v>
      </c>
      <c r="N231" s="1">
        <f t="shared" si="25"/>
        <v>-0.77539999999999998</v>
      </c>
      <c r="O231" s="1">
        <f t="shared" si="24"/>
        <v>-1.9384999999999999</v>
      </c>
      <c r="P231" s="1">
        <f>I231*N231</f>
        <v>601.24515999999994</v>
      </c>
      <c r="Q231" s="1">
        <f>(P231*10^-6)/D_Calculation_electrode_area!$H$22</f>
        <v>3.3402502174136969E-8</v>
      </c>
      <c r="R231" s="1">
        <f t="shared" si="15"/>
        <v>1.5031128999999997E-3</v>
      </c>
      <c r="S231" s="43">
        <f>10^-G231</f>
        <v>1.9678862897068417E-8</v>
      </c>
      <c r="T231" s="43">
        <f>(M231*10^-3/$Z$4)</f>
        <v>3.1541932031820914E-3</v>
      </c>
      <c r="U231" s="1">
        <f>(L231*10^-3/$Z$3)</f>
        <v>3.6149301309121128E-4</v>
      </c>
      <c r="V231" s="163">
        <f t="shared" si="21"/>
        <v>3.5156862162733027E-3</v>
      </c>
      <c r="W231" s="170">
        <f>V231*$Z$5*10^3</f>
        <v>112.73047852480344</v>
      </c>
    </row>
    <row r="232" spans="1:23">
      <c r="A232" s="5" t="s">
        <v>35</v>
      </c>
      <c r="B232" s="57">
        <v>11.4</v>
      </c>
      <c r="C232" s="45">
        <v>35</v>
      </c>
      <c r="D232" s="1">
        <v>6.73</v>
      </c>
      <c r="E232" s="1">
        <v>22.5</v>
      </c>
      <c r="F232" s="1">
        <v>19.7</v>
      </c>
      <c r="G232" s="1">
        <v>7.702</v>
      </c>
      <c r="H232" s="1">
        <v>7.7460000000000004</v>
      </c>
      <c r="I232" s="1">
        <v>-752.6</v>
      </c>
      <c r="J232" s="1">
        <v>-398.36</v>
      </c>
      <c r="K232" s="1">
        <v>362.37</v>
      </c>
      <c r="L232" s="1">
        <f>0.158*8</f>
        <v>1.264</v>
      </c>
      <c r="M232" s="1">
        <f>83.7*3</f>
        <v>251.10000000000002</v>
      </c>
      <c r="N232" s="1">
        <f t="shared" si="25"/>
        <v>-0.75260000000000005</v>
      </c>
      <c r="O232" s="1">
        <f t="shared" si="24"/>
        <v>-1.8815</v>
      </c>
      <c r="P232" s="1">
        <f>I232*N232</f>
        <v>566.40676000000008</v>
      </c>
      <c r="Q232" s="1">
        <f>(P232*10^-6)/D_Calculation_electrode_area!$H$22</f>
        <v>3.1467035896548225E-8</v>
      </c>
      <c r="R232" s="1">
        <f t="shared" si="15"/>
        <v>1.4160169000000001E-3</v>
      </c>
      <c r="S232" s="43">
        <f>10^-G232</f>
        <v>1.9860949173573666E-8</v>
      </c>
      <c r="T232" s="43">
        <f>(M232*10^-3/$Z$4)</f>
        <v>2.6139205060033773E-3</v>
      </c>
      <c r="U232" s="1">
        <f>(L232*10^-3/$Z$3)</f>
        <v>3.7088244200267126E-5</v>
      </c>
      <c r="V232" s="163">
        <f t="shared" si="21"/>
        <v>2.6510087502036443E-3</v>
      </c>
      <c r="W232" s="170">
        <f>V232*$Z$5*10^3</f>
        <v>85.004595575279851</v>
      </c>
    </row>
    <row r="233" spans="1:23">
      <c r="A233" s="5" t="s">
        <v>36</v>
      </c>
      <c r="B233" s="57">
        <v>11.4</v>
      </c>
      <c r="C233" s="45">
        <v>35</v>
      </c>
      <c r="D233" s="1">
        <v>5.48</v>
      </c>
      <c r="E233" s="1">
        <v>22.2</v>
      </c>
      <c r="F233" s="1">
        <v>19.5</v>
      </c>
      <c r="G233" s="1">
        <v>6.827</v>
      </c>
      <c r="H233" s="1">
        <v>8.7490000000000006</v>
      </c>
      <c r="I233" s="1">
        <v>-335.08</v>
      </c>
      <c r="J233" s="1">
        <v>-202.77</v>
      </c>
      <c r="K233" s="1">
        <v>132.05000000000001</v>
      </c>
      <c r="L233" s="1">
        <f>1.08*8</f>
        <v>8.64</v>
      </c>
      <c r="M233" s="1">
        <f>148*3</f>
        <v>444</v>
      </c>
      <c r="N233" s="1">
        <f>I233/4700</f>
        <v>-7.1293617021276595E-2</v>
      </c>
      <c r="O233" s="1">
        <f t="shared" si="24"/>
        <v>-0.17823404255319147</v>
      </c>
      <c r="P233" s="1">
        <f>I233*N233</f>
        <v>23.889065191489362</v>
      </c>
      <c r="Q233" s="1">
        <f>(P233*10^-6)/D_Calculation_electrode_area!$H$21</f>
        <v>6.6020024254780834E-3</v>
      </c>
      <c r="R233" s="1">
        <f t="shared" si="15"/>
        <v>5.9722662978723402E-5</v>
      </c>
      <c r="S233" s="43">
        <f>10^-G233</f>
        <v>1.4893610777109125E-7</v>
      </c>
      <c r="T233" s="43">
        <f>(M233*10^-3/$Z$4)</f>
        <v>4.6219860799103915E-3</v>
      </c>
      <c r="U233" s="1">
        <f>(L233*10^-3/$Z$3)</f>
        <v>2.5351458060942088E-4</v>
      </c>
      <c r="V233" s="163">
        <f t="shared" si="21"/>
        <v>4.8755006605198121E-3</v>
      </c>
      <c r="W233" s="170">
        <f>V233*$Z$5*10^3</f>
        <v>156.33292867956777</v>
      </c>
    </row>
    <row r="234" spans="1:23">
      <c r="A234" s="5" t="s">
        <v>37</v>
      </c>
      <c r="B234" s="57">
        <v>11.4</v>
      </c>
      <c r="C234" s="45">
        <v>35</v>
      </c>
      <c r="D234" s="1">
        <v>6.67</v>
      </c>
      <c r="E234" s="1">
        <v>22.8</v>
      </c>
      <c r="F234" s="1">
        <v>19.5</v>
      </c>
      <c r="G234" s="1">
        <v>6.976</v>
      </c>
      <c r="H234" s="1">
        <v>8.6219999999999999</v>
      </c>
      <c r="I234" s="1">
        <v>-61.64</v>
      </c>
      <c r="J234" s="1">
        <v>160.28</v>
      </c>
      <c r="K234" s="1">
        <v>220.23</v>
      </c>
      <c r="L234" s="1">
        <f>1.09*8</f>
        <v>8.7200000000000006</v>
      </c>
      <c r="M234" s="1">
        <f>148*3</f>
        <v>444</v>
      </c>
      <c r="N234" s="1">
        <f t="shared" si="25"/>
        <v>-6.164E-2</v>
      </c>
      <c r="O234" s="1">
        <f t="shared" si="24"/>
        <v>-0.15409999999999999</v>
      </c>
      <c r="P234" s="1">
        <f>I234*N234</f>
        <v>3.7994896000000002</v>
      </c>
      <c r="Q234" s="1">
        <f>(P234*10^-6)/D_Calculation_electrode_area!$H$21</f>
        <v>1.0500301855141314E-3</v>
      </c>
      <c r="R234" s="1">
        <f t="shared" si="15"/>
        <v>9.498724E-6</v>
      </c>
      <c r="S234" s="43">
        <f>10^-G234</f>
        <v>1.0568175092136567E-7</v>
      </c>
      <c r="T234" s="43">
        <f>(M234*10^-3/$Z$4)</f>
        <v>4.6219860799103915E-3</v>
      </c>
      <c r="U234" s="1">
        <f>(L234*10^-3/$Z$3)</f>
        <v>2.5586193783728588E-4</v>
      </c>
      <c r="V234" s="163">
        <f t="shared" si="21"/>
        <v>4.8778480177476772E-3</v>
      </c>
      <c r="W234" s="170">
        <f>V234*$Z$5*10^3</f>
        <v>156.40819668907926</v>
      </c>
    </row>
    <row r="235" spans="1:23">
      <c r="A235" s="5" t="s">
        <v>38</v>
      </c>
      <c r="B235" s="57">
        <v>11.4</v>
      </c>
      <c r="C235" s="45">
        <v>35</v>
      </c>
      <c r="D235" s="1">
        <v>7.12</v>
      </c>
      <c r="E235" s="1">
        <v>22.6</v>
      </c>
      <c r="F235" s="1">
        <v>19.5</v>
      </c>
      <c r="G235" s="1">
        <v>7.1340000000000003</v>
      </c>
      <c r="H235" s="1">
        <v>8.6430000000000007</v>
      </c>
      <c r="I235" s="1">
        <v>-64.599999999999994</v>
      </c>
      <c r="J235" s="1">
        <v>148.19</v>
      </c>
      <c r="K235" s="1">
        <v>211.48</v>
      </c>
      <c r="L235" s="1">
        <f>1.14*25</f>
        <v>28.499999999999996</v>
      </c>
      <c r="M235" s="1">
        <f>104*3</f>
        <v>312</v>
      </c>
      <c r="N235" s="1">
        <f t="shared" si="25"/>
        <v>-6.4599999999999991E-2</v>
      </c>
      <c r="O235" s="1">
        <f t="shared" si="24"/>
        <v>-0.16149999999999998</v>
      </c>
      <c r="P235" s="1">
        <f>I235*N235</f>
        <v>4.1731599999999993</v>
      </c>
      <c r="Q235" s="1">
        <f>(P235*10^-6)/D_Calculation_electrode_area!$H$21</f>
        <v>1.1532980558704915E-3</v>
      </c>
      <c r="R235" s="1">
        <f t="shared" si="15"/>
        <v>1.0432899999999996E-5</v>
      </c>
      <c r="S235" s="43">
        <f>10^-G235</f>
        <v>7.3451386815711334E-8</v>
      </c>
      <c r="T235" s="43">
        <f>(M235*10^-3/$Z$4)</f>
        <v>3.2478821102073022E-3</v>
      </c>
      <c r="U235" s="1">
        <f>(L235*10^-3/$Z$3)</f>
        <v>8.3624601242690913E-4</v>
      </c>
      <c r="V235" s="163">
        <f t="shared" si="21"/>
        <v>4.0841281226342112E-3</v>
      </c>
      <c r="W235" s="170">
        <f>V235*$Z$5*10^3</f>
        <v>130.95756825226599</v>
      </c>
    </row>
    <row r="236" spans="1:23">
      <c r="A236" s="5" t="s">
        <v>39</v>
      </c>
      <c r="B236" s="57">
        <v>11.4</v>
      </c>
      <c r="C236" s="45">
        <v>35</v>
      </c>
      <c r="D236" s="1">
        <v>7.79</v>
      </c>
      <c r="E236" s="1">
        <v>24.9</v>
      </c>
      <c r="F236" s="1">
        <v>19.5</v>
      </c>
      <c r="G236" s="1">
        <v>7.5140000000000002</v>
      </c>
      <c r="H236" s="1">
        <v>8.0809999999999995</v>
      </c>
      <c r="I236" s="1"/>
      <c r="J236" s="1"/>
      <c r="K236" s="1"/>
      <c r="L236" s="1">
        <f>1.17*25</f>
        <v>29.25</v>
      </c>
      <c r="M236" s="1">
        <f>110*3</f>
        <v>330</v>
      </c>
      <c r="N236" s="1"/>
      <c r="O236" s="1"/>
      <c r="P236" s="1"/>
      <c r="Q236" s="1"/>
      <c r="R236" s="172"/>
      <c r="S236" s="43">
        <f>10^-G236</f>
        <v>3.0619634336906708E-8</v>
      </c>
      <c r="T236" s="43">
        <f>(M236*10^-3/$Z$4)</f>
        <v>3.4352599242577237E-3</v>
      </c>
      <c r="U236" s="1">
        <f>(L236*10^-3/$Z$3)</f>
        <v>8.5825248643814367E-4</v>
      </c>
      <c r="V236" s="163">
        <f t="shared" si="21"/>
        <v>4.2935124106958673E-3</v>
      </c>
      <c r="W236" s="170">
        <f>V236*$Z$5*10^3</f>
        <v>137.67147544896295</v>
      </c>
    </row>
    <row r="237" spans="1:23">
      <c r="A237" s="5" t="s">
        <v>40</v>
      </c>
      <c r="B237" s="57">
        <v>11.4</v>
      </c>
      <c r="C237" s="45">
        <v>35</v>
      </c>
      <c r="D237" s="1">
        <v>7.81</v>
      </c>
      <c r="E237" s="1">
        <v>22.9</v>
      </c>
      <c r="F237" s="1">
        <v>19.600000000000001</v>
      </c>
      <c r="G237" s="1">
        <v>7.601</v>
      </c>
      <c r="H237" s="1">
        <v>8.0969999999999995</v>
      </c>
      <c r="I237" s="1"/>
      <c r="J237" s="1"/>
      <c r="K237" s="1"/>
      <c r="L237" s="1">
        <f>1.6*25</f>
        <v>40</v>
      </c>
      <c r="M237" s="1">
        <f>94.9*3</f>
        <v>284.70000000000005</v>
      </c>
      <c r="N237" s="1"/>
      <c r="O237" s="1"/>
      <c r="P237" s="1"/>
      <c r="Q237" s="1"/>
      <c r="R237" s="1"/>
      <c r="S237" s="43">
        <f>10^-G237</f>
        <v>2.506109253032107E-8</v>
      </c>
      <c r="T237" s="43">
        <f>(M237*10^-3/$Z$4)</f>
        <v>2.9636924255641637E-3</v>
      </c>
      <c r="U237" s="1">
        <f>(L237*10^-3/$Z$3)</f>
        <v>1.1736786139325041E-3</v>
      </c>
      <c r="V237" s="163">
        <f t="shared" si="21"/>
        <v>4.137371039496668E-3</v>
      </c>
      <c r="W237" s="170">
        <f>V237*$Z$5*10^3</f>
        <v>132.66480238146065</v>
      </c>
    </row>
    <row r="238" spans="1:23">
      <c r="A238" s="5" t="s">
        <v>41</v>
      </c>
      <c r="B238" s="57">
        <v>11.4</v>
      </c>
      <c r="C238" s="45">
        <v>35</v>
      </c>
      <c r="D238" s="1">
        <v>8.17</v>
      </c>
      <c r="E238" s="1">
        <v>23.5</v>
      </c>
      <c r="F238" s="1">
        <v>19.600000000000001</v>
      </c>
      <c r="G238" s="1">
        <v>7.4909999999999997</v>
      </c>
      <c r="H238" s="1">
        <v>8.0549999999999997</v>
      </c>
      <c r="I238" s="1"/>
      <c r="J238" s="1"/>
      <c r="K238" s="1"/>
      <c r="L238" s="1">
        <f>1.52*25</f>
        <v>38</v>
      </c>
      <c r="M238" s="1">
        <f>107*3</f>
        <v>321</v>
      </c>
      <c r="N238" s="1"/>
      <c r="O238" s="1"/>
      <c r="P238" s="1"/>
      <c r="Q238" s="1"/>
      <c r="R238" s="1"/>
      <c r="S238" s="43">
        <f>10^-G238</f>
        <v>3.2284941217126346E-8</v>
      </c>
      <c r="T238" s="43">
        <f>(M238*10^-3/$Z$4)</f>
        <v>3.3415710172325129E-3</v>
      </c>
      <c r="U238" s="1">
        <f>(L238*10^-3/$Z$3)</f>
        <v>1.1149946832358789E-3</v>
      </c>
      <c r="V238" s="163">
        <f t="shared" si="21"/>
        <v>4.4565657004683916E-3</v>
      </c>
      <c r="W238" s="170">
        <f>V238*$Z$5*10^3</f>
        <v>142.89977918551895</v>
      </c>
    </row>
    <row r="239" spans="1:23">
      <c r="A239" s="5" t="s">
        <v>42</v>
      </c>
      <c r="B239" s="57">
        <v>11.4</v>
      </c>
      <c r="C239" s="45">
        <v>35</v>
      </c>
      <c r="D239" s="1">
        <v>7.75</v>
      </c>
      <c r="E239" s="1">
        <v>21.9</v>
      </c>
      <c r="F239" s="1">
        <v>19.8</v>
      </c>
      <c r="G239" s="1">
        <v>7.4139999999999997</v>
      </c>
      <c r="H239" s="1">
        <v>8.1509999999999998</v>
      </c>
      <c r="I239" s="1">
        <v>-598.70000000000005</v>
      </c>
      <c r="J239" s="1">
        <v>-413.37</v>
      </c>
      <c r="K239" s="1">
        <v>282.88</v>
      </c>
      <c r="L239" s="1">
        <f>0.806*20</f>
        <v>16.12</v>
      </c>
      <c r="M239" s="1">
        <f>149*3</f>
        <v>447</v>
      </c>
      <c r="N239" s="1">
        <f t="shared" ref="N239:N241" si="26">I239/1000</f>
        <v>-0.59870000000000001</v>
      </c>
      <c r="O239" s="1">
        <f t="shared" si="24"/>
        <v>-1.49675</v>
      </c>
      <c r="P239" s="1">
        <f>I239*N239</f>
        <v>358.44169000000005</v>
      </c>
      <c r="Q239" s="1">
        <f>(P239*10^-6)/D_Calculation_electrode_area!$H$21</f>
        <v>9.9059251075907351E-2</v>
      </c>
      <c r="R239" s="1">
        <f t="shared" si="18"/>
        <v>8.9610422500000007E-4</v>
      </c>
      <c r="S239" s="43">
        <f>10^-G239</f>
        <v>3.8547835766577198E-8</v>
      </c>
      <c r="T239" s="43">
        <f>(M239*10^-3/$Z$4)</f>
        <v>4.653215715585462E-3</v>
      </c>
      <c r="U239" s="1">
        <f>(L239*10^-3/$Z$3)</f>
        <v>4.7299248141479923E-4</v>
      </c>
      <c r="V239" s="163">
        <f t="shared" si="21"/>
        <v>5.1262081970002609E-3</v>
      </c>
      <c r="W239" s="170">
        <f>V239*$Z$5*10^3</f>
        <v>164.37186583681336</v>
      </c>
    </row>
    <row r="240" spans="1:23">
      <c r="A240" s="5" t="s">
        <v>43</v>
      </c>
      <c r="B240" s="57">
        <v>11.4</v>
      </c>
      <c r="C240" s="45">
        <v>35</v>
      </c>
      <c r="D240" s="1">
        <v>7.34</v>
      </c>
      <c r="E240" s="1">
        <v>21.6</v>
      </c>
      <c r="F240" s="1">
        <v>19.8</v>
      </c>
      <c r="G240" s="1">
        <v>7.3140000000000001</v>
      </c>
      <c r="H240" s="1">
        <v>8.1219999999999999</v>
      </c>
      <c r="I240" s="1">
        <v>-685.7</v>
      </c>
      <c r="J240" s="1">
        <v>-417.92</v>
      </c>
      <c r="K240" s="1">
        <v>250.53</v>
      </c>
      <c r="L240" s="1">
        <f>0.339*20</f>
        <v>6.78</v>
      </c>
      <c r="M240" s="1">
        <f>161*3</f>
        <v>483</v>
      </c>
      <c r="N240" s="1">
        <f t="shared" si="26"/>
        <v>-0.68570000000000009</v>
      </c>
      <c r="O240" s="1">
        <f t="shared" si="24"/>
        <v>-1.7142500000000001</v>
      </c>
      <c r="P240" s="1">
        <f>I240*N240</f>
        <v>470.1844900000001</v>
      </c>
      <c r="Q240" s="1">
        <f>(P240*10^-6)/D_Calculation_electrode_area!$H$21</f>
        <v>0.12994058656209173</v>
      </c>
      <c r="R240" s="1">
        <f t="shared" si="18"/>
        <v>1.175461225E-3</v>
      </c>
      <c r="S240" s="43">
        <f>10^-G240</f>
        <v>4.8528850016212087E-8</v>
      </c>
      <c r="T240" s="43">
        <f>(M240*10^-3/$Z$4)</f>
        <v>5.0279713436863042E-3</v>
      </c>
      <c r="U240" s="1">
        <f>(L240*10^-3/$Z$3)</f>
        <v>1.9893852506155946E-4</v>
      </c>
      <c r="V240" s="163">
        <f t="shared" si="21"/>
        <v>5.2269098687478636E-3</v>
      </c>
      <c r="W240" s="170">
        <f>V240*$Z$5*10^3</f>
        <v>167.60086494140023</v>
      </c>
    </row>
    <row r="241" spans="1:23">
      <c r="A241" s="34" t="s">
        <v>44</v>
      </c>
      <c r="B241" s="58">
        <v>11.4</v>
      </c>
      <c r="C241" s="64">
        <v>35</v>
      </c>
      <c r="D241" s="2">
        <v>7.64</v>
      </c>
      <c r="E241" s="2">
        <v>21.5</v>
      </c>
      <c r="F241" s="2">
        <v>19.8</v>
      </c>
      <c r="G241" s="2">
        <v>7.4589999999999996</v>
      </c>
      <c r="H241" s="2">
        <v>8.2100000000000009</v>
      </c>
      <c r="I241" s="2">
        <v>-716.2</v>
      </c>
      <c r="J241" s="2">
        <v>-433.29</v>
      </c>
      <c r="K241" s="2">
        <v>282.18</v>
      </c>
      <c r="L241" s="2">
        <f>0.501*20</f>
        <v>10.02</v>
      </c>
      <c r="M241" s="2">
        <f>157*3</f>
        <v>471</v>
      </c>
      <c r="N241" s="2">
        <f t="shared" si="26"/>
        <v>-0.71620000000000006</v>
      </c>
      <c r="O241" s="2">
        <f t="shared" si="24"/>
        <v>-1.7905</v>
      </c>
      <c r="P241" s="2">
        <f>I241*N241</f>
        <v>512.94244000000003</v>
      </c>
      <c r="Q241" s="2">
        <f>(P241*10^-6)/D_Calculation_electrode_area!$H$21</f>
        <v>0.14175721008192027</v>
      </c>
      <c r="R241" s="2">
        <f t="shared" si="18"/>
        <v>1.2823560999999999E-3</v>
      </c>
      <c r="S241" s="78">
        <f>10^-G241</f>
        <v>3.4753616144320615E-8</v>
      </c>
      <c r="T241" s="78">
        <f>(M241*10^-3/$Z$4)</f>
        <v>4.9030528009860238E-3</v>
      </c>
      <c r="U241" s="2">
        <f>(L241*10^-3/$Z$3)</f>
        <v>2.9400649279009224E-4</v>
      </c>
      <c r="V241" s="166">
        <f t="shared" si="21"/>
        <v>5.1970592937761158E-3</v>
      </c>
      <c r="W241" s="174">
        <f>V241*$Z$5*10^3</f>
        <v>166.64370625493115</v>
      </c>
    </row>
    <row r="242" spans="1:23">
      <c r="A242" s="35" t="s">
        <v>23</v>
      </c>
      <c r="B242" s="59" t="s">
        <v>58</v>
      </c>
      <c r="C242" s="62">
        <v>44</v>
      </c>
      <c r="D242" s="12">
        <v>7.05</v>
      </c>
      <c r="E242" s="12">
        <v>23.1</v>
      </c>
      <c r="F242" s="12">
        <v>20.6</v>
      </c>
      <c r="G242" s="12">
        <v>6.8289999999999997</v>
      </c>
      <c r="H242" s="12">
        <v>8.68</v>
      </c>
      <c r="I242" s="12">
        <v>-467.9</v>
      </c>
      <c r="J242" s="12">
        <v>-371.4</v>
      </c>
      <c r="K242" s="12">
        <v>129.6</v>
      </c>
      <c r="L242" s="12">
        <f>0.17*8</f>
        <v>1.36</v>
      </c>
      <c r="M242" s="12">
        <f>123*3</f>
        <v>369</v>
      </c>
      <c r="N242" s="12">
        <f>I242/4700</f>
        <v>-9.9553191489361703E-2</v>
      </c>
      <c r="O242" s="12">
        <f t="shared" si="24"/>
        <v>-0.24888297872340426</v>
      </c>
      <c r="P242" s="12">
        <f>I242*N242</f>
        <v>46.580938297872336</v>
      </c>
      <c r="Q242" s="12">
        <f>(P242*10^-6)/D_Calculation_electrode_area!$H$22</f>
        <v>2.5878293852178713E-9</v>
      </c>
      <c r="R242" s="168">
        <f t="shared" si="18"/>
        <v>1.1645234574468083E-4</v>
      </c>
      <c r="S242" s="63">
        <f>10^-G242</f>
        <v>1.4825180851459511E-7</v>
      </c>
      <c r="T242" s="63">
        <f>(M242*10^-3/$Z$4)</f>
        <v>3.841245188033636E-3</v>
      </c>
      <c r="U242" s="12">
        <f>(L242*10^-3/$Z$3)</f>
        <v>3.9905072873705143E-5</v>
      </c>
      <c r="V242" s="162">
        <f t="shared" si="21"/>
        <v>3.8811502609073412E-3</v>
      </c>
      <c r="W242" s="169">
        <f>V242*$Z$5*10^3</f>
        <v>124.44908311599389</v>
      </c>
    </row>
    <row r="243" spans="1:23">
      <c r="A243" s="5" t="s">
        <v>27</v>
      </c>
      <c r="B243" s="57" t="s">
        <v>58</v>
      </c>
      <c r="C243" s="45">
        <v>44</v>
      </c>
      <c r="D243" s="1">
        <v>6.85</v>
      </c>
      <c r="E243" s="1">
        <v>24.1</v>
      </c>
      <c r="F243" s="1">
        <v>20.399999999999999</v>
      </c>
      <c r="G243" s="1">
        <v>6.95</v>
      </c>
      <c r="H243" s="1">
        <v>8.7289999999999992</v>
      </c>
      <c r="I243" s="1">
        <v>-512.20000000000005</v>
      </c>
      <c r="J243" s="1">
        <v>-348</v>
      </c>
      <c r="K243" s="1">
        <v>164.2</v>
      </c>
      <c r="L243" s="1">
        <f>0.303*8</f>
        <v>2.4239999999999999</v>
      </c>
      <c r="M243" s="1">
        <f>130*3</f>
        <v>390</v>
      </c>
      <c r="N243" s="1">
        <f>I243/4700</f>
        <v>-0.10897872340425532</v>
      </c>
      <c r="O243" s="1">
        <f t="shared" si="24"/>
        <v>-0.27244680851063829</v>
      </c>
      <c r="P243" s="1">
        <f>I243*N243</f>
        <v>55.818902127659584</v>
      </c>
      <c r="Q243" s="1">
        <f>(P243*10^-6)/D_Calculation_electrode_area!$H$22</f>
        <v>3.1010494948135432E-9</v>
      </c>
      <c r="R243" s="1">
        <f t="shared" si="18"/>
        <v>1.3954725531914894E-4</v>
      </c>
      <c r="S243" s="43">
        <f>10^-G243</f>
        <v>1.1220184543019621E-7</v>
      </c>
      <c r="T243" s="43">
        <f>(M243*10^-3/$Z$4)</f>
        <v>4.0598526377591277E-3</v>
      </c>
      <c r="U243" s="1">
        <f>(L243*10^-3/$Z$3)</f>
        <v>7.1124924004309744E-5</v>
      </c>
      <c r="V243" s="163">
        <f t="shared" si="21"/>
        <v>4.1309775617634371E-3</v>
      </c>
      <c r="W243" s="170">
        <f>V243*$Z$5*10^3</f>
        <v>132.4597955179446</v>
      </c>
    </row>
    <row r="244" spans="1:23">
      <c r="A244" s="5" t="s">
        <v>30</v>
      </c>
      <c r="B244" s="57" t="s">
        <v>58</v>
      </c>
      <c r="C244" s="45">
        <v>44</v>
      </c>
      <c r="D244" s="1">
        <v>6.68</v>
      </c>
      <c r="E244" s="1">
        <v>24.1</v>
      </c>
      <c r="F244" s="1">
        <v>20.3</v>
      </c>
      <c r="G244" s="1">
        <v>6.7560000000000002</v>
      </c>
      <c r="H244" s="1">
        <v>8.7769999999999992</v>
      </c>
      <c r="I244" s="1">
        <v>-91.3</v>
      </c>
      <c r="J244" s="1">
        <v>-279.2</v>
      </c>
      <c r="K244" s="1">
        <v>-188</v>
      </c>
      <c r="L244" s="1">
        <f>0.045</f>
        <v>4.4999999999999998E-2</v>
      </c>
      <c r="M244" s="1">
        <f>139*3</f>
        <v>417</v>
      </c>
      <c r="N244" s="1">
        <f>I244/560</f>
        <v>-0.16303571428571428</v>
      </c>
      <c r="O244" s="1">
        <f t="shared" si="24"/>
        <v>-0.40758928571428571</v>
      </c>
      <c r="P244" s="1">
        <f>I244*N244</f>
        <v>14.885160714285714</v>
      </c>
      <c r="Q244" s="1">
        <f>(P244*10^-6)/D_Calculation_electrode_area!$H$22</f>
        <v>8.2695320677726003E-10</v>
      </c>
      <c r="R244" s="1">
        <f t="shared" si="18"/>
        <v>3.7212901785714281E-5</v>
      </c>
      <c r="S244" s="43">
        <f>10^-G244</f>
        <v>1.753880501841758E-7</v>
      </c>
      <c r="T244" s="43">
        <f>(M244*10^-3/$Z$4)</f>
        <v>4.3409193588347592E-3</v>
      </c>
      <c r="U244" s="1">
        <f>(L244*10^-3/$Z$3)</f>
        <v>1.320388440674067E-6</v>
      </c>
      <c r="V244" s="163">
        <f t="shared" si="21"/>
        <v>4.3422397472754328E-3</v>
      </c>
      <c r="W244" s="170">
        <f>V244*$Z$5*10^3</f>
        <v>139.23391749638674</v>
      </c>
    </row>
    <row r="245" spans="1:23">
      <c r="A245" s="5" t="s">
        <v>32</v>
      </c>
      <c r="B245" s="57" t="s">
        <v>58</v>
      </c>
      <c r="C245" s="45">
        <v>44</v>
      </c>
      <c r="D245" s="1">
        <v>7.64</v>
      </c>
      <c r="E245" s="1">
        <v>23.6</v>
      </c>
      <c r="F245" s="1">
        <v>20.6</v>
      </c>
      <c r="G245" s="1">
        <v>7.6280000000000001</v>
      </c>
      <c r="H245" s="1">
        <v>7.798</v>
      </c>
      <c r="I245" s="1">
        <v>-821</v>
      </c>
      <c r="J245" s="1">
        <v>-391</v>
      </c>
      <c r="K245" s="1">
        <v>-437</v>
      </c>
      <c r="L245" s="1">
        <f>1.06*8</f>
        <v>8.48</v>
      </c>
      <c r="M245" s="1">
        <f>90.4*3</f>
        <v>271.20000000000005</v>
      </c>
      <c r="N245" s="1">
        <f t="shared" ref="N243:N256" si="27">I245/1000</f>
        <v>-0.82099999999999995</v>
      </c>
      <c r="O245" s="1">
        <f t="shared" si="24"/>
        <v>-2.0524999999999998</v>
      </c>
      <c r="P245" s="1">
        <f>I245*N245</f>
        <v>674.04099999999994</v>
      </c>
      <c r="Q245" s="1">
        <f>(P245*10^-6)/D_Calculation_electrode_area!$H$22</f>
        <v>3.7446714694480791E-8</v>
      </c>
      <c r="R245" s="1">
        <f t="shared" si="18"/>
        <v>1.6851024999999997E-3</v>
      </c>
      <c r="S245" s="43">
        <f>10^-G245</f>
        <v>2.3550492838960088E-8</v>
      </c>
      <c r="T245" s="43">
        <f>(M245*10^-3/$Z$4)</f>
        <v>2.823159065026348E-3</v>
      </c>
      <c r="U245" s="1">
        <f>(L245*10^-3/$Z$3)</f>
        <v>2.4881986615369093E-4</v>
      </c>
      <c r="V245" s="163">
        <f t="shared" si="21"/>
        <v>3.0719789311800388E-3</v>
      </c>
      <c r="W245" s="170">
        <f>V245*$Z$5*10^3</f>
        <v>98.503004428287937</v>
      </c>
    </row>
    <row r="246" spans="1:23">
      <c r="A246" s="5" t="s">
        <v>34</v>
      </c>
      <c r="B246" s="57" t="s">
        <v>58</v>
      </c>
      <c r="C246" s="45">
        <v>44</v>
      </c>
      <c r="D246" s="1">
        <v>7.35</v>
      </c>
      <c r="E246" s="1">
        <v>23.5</v>
      </c>
      <c r="F246" s="1">
        <v>20.6</v>
      </c>
      <c r="G246" s="1">
        <v>7.7069999999999999</v>
      </c>
      <c r="H246" s="1">
        <v>7.8479999999999999</v>
      </c>
      <c r="I246" s="1">
        <v>-693</v>
      </c>
      <c r="J246" s="1">
        <v>-393</v>
      </c>
      <c r="K246" s="1">
        <v>-302</v>
      </c>
      <c r="L246" s="1">
        <f>1.56*8</f>
        <v>12.48</v>
      </c>
      <c r="M246" s="1">
        <f>67.8*3</f>
        <v>203.39999999999998</v>
      </c>
      <c r="N246" s="1">
        <f t="shared" si="27"/>
        <v>-0.69299999999999995</v>
      </c>
      <c r="O246" s="1">
        <f t="shared" si="24"/>
        <v>-1.7324999999999997</v>
      </c>
      <c r="P246" s="1">
        <f>I246*N246</f>
        <v>480.24899999999997</v>
      </c>
      <c r="Q246" s="1">
        <f>(P246*10^-6)/D_Calculation_electrode_area!$H$22</f>
        <v>2.6680494636542444E-8</v>
      </c>
      <c r="R246" s="1">
        <f t="shared" si="18"/>
        <v>1.2006224999999997E-3</v>
      </c>
      <c r="S246" s="43">
        <f>10^-G246</f>
        <v>1.9633602768360419E-8</v>
      </c>
      <c r="T246" s="43">
        <f>(M246*10^-3/$Z$4)</f>
        <v>2.1173692987697603E-3</v>
      </c>
      <c r="U246" s="1">
        <f>(L246*10^-3/$Z$3)</f>
        <v>3.6618772754694134E-4</v>
      </c>
      <c r="V246" s="163">
        <f t="shared" si="21"/>
        <v>2.4835570263167014E-3</v>
      </c>
      <c r="W246" s="170">
        <f>V246*$Z$5*10^3</f>
        <v>79.635256048845022</v>
      </c>
    </row>
    <row r="247" spans="1:23">
      <c r="A247" s="5" t="s">
        <v>35</v>
      </c>
      <c r="B247" s="57" t="s">
        <v>58</v>
      </c>
      <c r="C247" s="45">
        <v>44</v>
      </c>
      <c r="D247" s="1">
        <v>7.39</v>
      </c>
      <c r="E247" s="1">
        <v>23.2</v>
      </c>
      <c r="F247" s="1">
        <v>20.6</v>
      </c>
      <c r="G247" s="1">
        <v>7.6929999999999996</v>
      </c>
      <c r="H247" s="1">
        <v>7.8010000000000002</v>
      </c>
      <c r="I247" s="1">
        <v>-805</v>
      </c>
      <c r="J247" s="1">
        <v>-414</v>
      </c>
      <c r="K247" s="1">
        <v>-389</v>
      </c>
      <c r="L247" s="1">
        <f>0.595*8</f>
        <v>4.76</v>
      </c>
      <c r="M247" s="1">
        <f>89.2*3</f>
        <v>267.60000000000002</v>
      </c>
      <c r="N247" s="1">
        <f t="shared" si="27"/>
        <v>-0.80500000000000005</v>
      </c>
      <c r="O247" s="1">
        <f t="shared" si="24"/>
        <v>-2.0125000000000002</v>
      </c>
      <c r="P247" s="1">
        <f>I247*N247</f>
        <v>648.02500000000009</v>
      </c>
      <c r="Q247" s="1">
        <f>(P247*10^-6)/D_Calculation_electrode_area!$H$22</f>
        <v>3.600138165169615E-8</v>
      </c>
      <c r="R247" s="1">
        <f t="shared" si="18"/>
        <v>1.6200625000000002E-3</v>
      </c>
      <c r="S247" s="43">
        <f>10^-G247</f>
        <v>2.0276827195212826E-8</v>
      </c>
      <c r="T247" s="43">
        <f>(M247*10^-3/$Z$4)</f>
        <v>2.7856835022162631E-3</v>
      </c>
      <c r="U247" s="1">
        <f>(L247*10^-3/$Z$3)</f>
        <v>1.3966775505796798E-4</v>
      </c>
      <c r="V247" s="163">
        <f t="shared" si="21"/>
        <v>2.9253512572742311E-3</v>
      </c>
      <c r="W247" s="170">
        <f>V247*$Z$5*10^3</f>
        <v>93.801388064498212</v>
      </c>
    </row>
    <row r="248" spans="1:23">
      <c r="A248" s="5" t="s">
        <v>36</v>
      </c>
      <c r="B248" s="57" t="s">
        <v>58</v>
      </c>
      <c r="C248" s="45">
        <v>44</v>
      </c>
      <c r="D248" s="1">
        <v>6.74</v>
      </c>
      <c r="E248" s="1">
        <v>23.7</v>
      </c>
      <c r="F248" s="1">
        <v>20.6</v>
      </c>
      <c r="G248" s="1">
        <v>6.6349999999999998</v>
      </c>
      <c r="H248" s="1">
        <v>8.6669999999999998</v>
      </c>
      <c r="I248" s="1">
        <v>-347.2</v>
      </c>
      <c r="J248" s="1">
        <v>-267</v>
      </c>
      <c r="K248" s="1">
        <v>-91</v>
      </c>
      <c r="L248" s="1">
        <f>0.873*8</f>
        <v>6.984</v>
      </c>
      <c r="M248" s="1">
        <f>149*4</f>
        <v>596</v>
      </c>
      <c r="N248" s="1">
        <f>I248/4700</f>
        <v>-7.387234042553191E-2</v>
      </c>
      <c r="O248" s="1">
        <f t="shared" si="24"/>
        <v>-0.18468085106382975</v>
      </c>
      <c r="P248" s="1">
        <f>I248*N248</f>
        <v>25.648476595744679</v>
      </c>
      <c r="Q248" s="1">
        <f>(P248*10^-6)/D_Calculation_electrode_area!$H$21</f>
        <v>7.0882348613310166E-3</v>
      </c>
      <c r="R248" s="1">
        <f t="shared" si="18"/>
        <v>6.4121191489361685E-5</v>
      </c>
      <c r="S248" s="43">
        <f>10^-G248</f>
        <v>2.3173946499684774E-7</v>
      </c>
      <c r="T248" s="43">
        <f>(M248*10^-3/$Z$4)</f>
        <v>6.2042876207806155E-3</v>
      </c>
      <c r="U248" s="1">
        <f>(L248*10^-3/$Z$3)</f>
        <v>2.0492428599261522E-4</v>
      </c>
      <c r="V248" s="163">
        <f t="shared" si="21"/>
        <v>6.4092119067732309E-3</v>
      </c>
      <c r="W248" s="170">
        <f>V248*$Z$5*10^3</f>
        <v>205.51137979068363</v>
      </c>
    </row>
    <row r="249" spans="1:23">
      <c r="A249" s="5" t="s">
        <v>37</v>
      </c>
      <c r="B249" s="57" t="s">
        <v>58</v>
      </c>
      <c r="C249" s="45">
        <v>44</v>
      </c>
      <c r="D249" s="1">
        <v>7.32</v>
      </c>
      <c r="E249" s="1">
        <v>24.1</v>
      </c>
      <c r="F249" s="1">
        <v>20.5</v>
      </c>
      <c r="G249" s="1">
        <v>6.835</v>
      </c>
      <c r="H249" s="1">
        <v>8.7330000000000005</v>
      </c>
      <c r="I249" s="1">
        <v>-81.3</v>
      </c>
      <c r="J249" s="1">
        <v>-157</v>
      </c>
      <c r="K249" s="1">
        <v>238</v>
      </c>
      <c r="L249" s="1">
        <f>0.706*8</f>
        <v>5.6479999999999997</v>
      </c>
      <c r="M249" s="1">
        <f>148*3</f>
        <v>444</v>
      </c>
      <c r="N249" s="1">
        <f t="shared" si="27"/>
        <v>-8.1299999999999997E-2</v>
      </c>
      <c r="O249" s="1">
        <f t="shared" si="24"/>
        <v>-0.20324999999999999</v>
      </c>
      <c r="P249" s="1">
        <f>I249*N249</f>
        <v>6.6096899999999996</v>
      </c>
      <c r="Q249" s="1">
        <f>(P249*10^-6)/D_Calculation_electrode_area!$H$21</f>
        <v>1.8266595641927533E-3</v>
      </c>
      <c r="R249" s="1">
        <f t="shared" si="18"/>
        <v>1.6524224999999998E-5</v>
      </c>
      <c r="S249" s="43">
        <f>10^-G249</f>
        <v>1.4621771744567149E-7</v>
      </c>
      <c r="T249" s="43">
        <f>(M249*10^-3/$Z$4)</f>
        <v>4.6219860799103915E-3</v>
      </c>
      <c r="U249" s="1">
        <f>(L249*10^-3/$Z$3)</f>
        <v>1.6572342028726956E-4</v>
      </c>
      <c r="V249" s="163">
        <f t="shared" si="21"/>
        <v>4.7877095001976613E-3</v>
      </c>
      <c r="W249" s="170">
        <f>V249*$Z$5*10^3</f>
        <v>153.51790512383801</v>
      </c>
    </row>
    <row r="250" spans="1:23">
      <c r="A250" s="5" t="s">
        <v>38</v>
      </c>
      <c r="B250" s="57" t="s">
        <v>58</v>
      </c>
      <c r="C250" s="45">
        <v>44</v>
      </c>
      <c r="D250" s="1">
        <v>7.73</v>
      </c>
      <c r="E250" s="1">
        <v>23.1</v>
      </c>
      <c r="F250" s="1">
        <v>20.399999999999999</v>
      </c>
      <c r="G250" s="1">
        <v>6.8680000000000003</v>
      </c>
      <c r="H250" s="1">
        <v>8.8160000000000007</v>
      </c>
      <c r="I250" s="1">
        <v>-135.9</v>
      </c>
      <c r="J250" s="1">
        <v>-152</v>
      </c>
      <c r="K250" s="1">
        <v>260</v>
      </c>
      <c r="L250" s="1">
        <f>0.968*25</f>
        <v>24.2</v>
      </c>
      <c r="M250" s="1">
        <f>99.2*3</f>
        <v>297.60000000000002</v>
      </c>
      <c r="N250" s="1">
        <f t="shared" si="27"/>
        <v>-0.13589999999999999</v>
      </c>
      <c r="O250" s="1">
        <f t="shared" si="24"/>
        <v>-0.33974999999999994</v>
      </c>
      <c r="P250" s="1">
        <f>I250*N250</f>
        <v>18.468810000000001</v>
      </c>
      <c r="Q250" s="1">
        <f>(P250*10^-6)/D_Calculation_electrode_area!$H$21</f>
        <v>5.1040560791442207E-3</v>
      </c>
      <c r="R250" s="1">
        <f t="shared" si="18"/>
        <v>4.6172024999999993E-5</v>
      </c>
      <c r="S250" s="43">
        <f>10^-G250</f>
        <v>1.3551894123510329E-7</v>
      </c>
      <c r="T250" s="43">
        <f>(M250*10^-3/$Z$4)</f>
        <v>3.0979798589669655E-3</v>
      </c>
      <c r="U250" s="1">
        <f>(L250*10^-3/$Z$3)</f>
        <v>7.1007556142916499E-4</v>
      </c>
      <c r="V250" s="163">
        <f t="shared" si="21"/>
        <v>3.8080554203961305E-3</v>
      </c>
      <c r="W250" s="170">
        <f>V250*$Z$5*10^3</f>
        <v>122.10529705500193</v>
      </c>
    </row>
    <row r="251" spans="1:23">
      <c r="A251" s="5" t="s">
        <v>39</v>
      </c>
      <c r="B251" s="57" t="s">
        <v>58</v>
      </c>
      <c r="C251" s="45">
        <v>44</v>
      </c>
      <c r="D251" s="1">
        <v>8.0299999999999994</v>
      </c>
      <c r="E251" s="1">
        <v>26.6</v>
      </c>
      <c r="F251" s="1">
        <v>20.6</v>
      </c>
      <c r="G251" s="1">
        <v>7.5289999999999999</v>
      </c>
      <c r="H251" s="1">
        <v>7.8550000000000004</v>
      </c>
      <c r="I251" s="1"/>
      <c r="J251" s="1"/>
      <c r="K251" s="1"/>
      <c r="L251" s="1">
        <f>1*25</f>
        <v>25</v>
      </c>
      <c r="M251" s="1">
        <f>114*3</f>
        <v>342</v>
      </c>
      <c r="N251" s="1"/>
      <c r="O251" s="1"/>
      <c r="P251" s="1"/>
      <c r="Q251" s="1"/>
      <c r="R251" s="172"/>
      <c r="S251" s="43">
        <f>10^-G251</f>
        <v>2.9580124665515402E-8</v>
      </c>
      <c r="T251" s="43">
        <f>(M251*10^-3/$Z$4)</f>
        <v>3.5601784669580046E-3</v>
      </c>
      <c r="U251" s="1">
        <f>(L251*10^-3/$Z$3)</f>
        <v>7.3354913370781512E-4</v>
      </c>
      <c r="V251" s="163">
        <f t="shared" si="21"/>
        <v>4.2937276006658198E-3</v>
      </c>
      <c r="W251" s="170">
        <f>V251*$Z$5*10^3</f>
        <v>137.6783755153495</v>
      </c>
    </row>
    <row r="252" spans="1:23">
      <c r="A252" s="5" t="s">
        <v>40</v>
      </c>
      <c r="B252" s="57" t="s">
        <v>58</v>
      </c>
      <c r="C252" s="45">
        <v>44</v>
      </c>
      <c r="D252" s="1">
        <v>7.64</v>
      </c>
      <c r="E252" s="1">
        <v>23.8</v>
      </c>
      <c r="F252" s="1">
        <v>20.6</v>
      </c>
      <c r="G252" s="1">
        <v>7.6820000000000004</v>
      </c>
      <c r="H252" s="1">
        <v>7.9530000000000003</v>
      </c>
      <c r="I252" s="1"/>
      <c r="J252" s="1"/>
      <c r="K252" s="1"/>
      <c r="L252" s="1">
        <f>1.3*25</f>
        <v>32.5</v>
      </c>
      <c r="M252" s="1">
        <f>102*3</f>
        <v>306</v>
      </c>
      <c r="N252" s="1"/>
      <c r="O252" s="1"/>
      <c r="P252" s="1"/>
      <c r="Q252" s="1"/>
      <c r="R252" s="1"/>
      <c r="S252" s="43">
        <f>10^-G252</f>
        <v>2.0796966871036901E-8</v>
      </c>
      <c r="T252" s="43">
        <f>(M252*10^-3/$Z$4)</f>
        <v>3.1854228388571619E-3</v>
      </c>
      <c r="U252" s="1">
        <f>(L252*10^-3/$Z$3)</f>
        <v>9.5361387382015964E-4</v>
      </c>
      <c r="V252" s="163">
        <f t="shared" si="21"/>
        <v>4.1390367126773213E-3</v>
      </c>
      <c r="W252" s="170">
        <f>V252*$Z$5*10^3</f>
        <v>132.7182121919983</v>
      </c>
    </row>
    <row r="253" spans="1:23">
      <c r="A253" s="5" t="s">
        <v>41</v>
      </c>
      <c r="B253" s="57" t="s">
        <v>58</v>
      </c>
      <c r="C253" s="45">
        <v>44</v>
      </c>
      <c r="D253" s="1">
        <v>8.15</v>
      </c>
      <c r="E253" s="1">
        <v>24.4</v>
      </c>
      <c r="F253" s="1">
        <v>20.7</v>
      </c>
      <c r="G253" s="1">
        <v>7.4779999999999998</v>
      </c>
      <c r="H253" s="1">
        <v>7.8970000000000002</v>
      </c>
      <c r="I253" s="1"/>
      <c r="J253" s="1"/>
      <c r="K253" s="1"/>
      <c r="L253" s="1">
        <f>1.6*25</f>
        <v>40</v>
      </c>
      <c r="M253" s="1">
        <f>107*3</f>
        <v>321</v>
      </c>
      <c r="N253" s="1"/>
      <c r="O253" s="1"/>
      <c r="P253" s="1"/>
      <c r="Q253" s="1"/>
      <c r="R253" s="1"/>
      <c r="S253" s="43">
        <f>10^-G253</f>
        <v>3.3265955329400397E-8</v>
      </c>
      <c r="T253" s="43">
        <f>(M253*10^-3/$Z$4)</f>
        <v>3.3415710172325129E-3</v>
      </c>
      <c r="U253" s="1">
        <f>(L253*10^-3/$Z$3)</f>
        <v>1.1736786139325041E-3</v>
      </c>
      <c r="V253" s="163">
        <f t="shared" si="21"/>
        <v>4.5152496311650168E-3</v>
      </c>
      <c r="W253" s="170">
        <f>V253*$Z$5*10^3</f>
        <v>144.78147942330625</v>
      </c>
    </row>
    <row r="254" spans="1:23">
      <c r="A254" s="5" t="s">
        <v>42</v>
      </c>
      <c r="B254" s="57" t="s">
        <v>58</v>
      </c>
      <c r="C254" s="45">
        <v>44</v>
      </c>
      <c r="D254" s="1">
        <v>7.68</v>
      </c>
      <c r="E254" s="1">
        <v>22.4</v>
      </c>
      <c r="F254" s="1">
        <v>20.8</v>
      </c>
      <c r="G254" s="1">
        <v>7.4279999999999999</v>
      </c>
      <c r="H254" s="1">
        <v>7.9909999999999997</v>
      </c>
      <c r="I254" s="1">
        <v>-695</v>
      </c>
      <c r="J254" s="1">
        <v>-398</v>
      </c>
      <c r="K254" s="1">
        <v>295</v>
      </c>
      <c r="L254" s="1">
        <f>0.852*25</f>
        <v>21.3</v>
      </c>
      <c r="M254" s="1">
        <f>145*3</f>
        <v>435</v>
      </c>
      <c r="N254" s="1">
        <f t="shared" ref="N254:N256" si="28">I254/1000</f>
        <v>-0.69499999999999995</v>
      </c>
      <c r="O254" s="1">
        <f t="shared" si="24"/>
        <v>-1.7374999999999998</v>
      </c>
      <c r="P254" s="1">
        <f>I254*N254</f>
        <v>483.02499999999998</v>
      </c>
      <c r="Q254" s="1">
        <f>(P254*10^-6)/D_Calculation_electrode_area!$H$21</f>
        <v>0.13348920085423138</v>
      </c>
      <c r="R254" s="1">
        <f t="shared" si="18"/>
        <v>1.2075624999999999E-3</v>
      </c>
      <c r="S254" s="43">
        <f>10^-G254</f>
        <v>3.7325015779571974E-8</v>
      </c>
      <c r="T254" s="43">
        <f>(M254*10^-3/$Z$4)</f>
        <v>4.5282971728851807E-3</v>
      </c>
      <c r="U254" s="1">
        <f>(L254*10^-3/$Z$3)</f>
        <v>6.2498386191905844E-4</v>
      </c>
      <c r="V254" s="163">
        <f t="shared" si="21"/>
        <v>5.1532810348042394E-3</v>
      </c>
      <c r="W254" s="170">
        <f>V254*$Z$5*10^3</f>
        <v>165.23995638099791</v>
      </c>
    </row>
    <row r="255" spans="1:23">
      <c r="A255" s="5" t="s">
        <v>43</v>
      </c>
      <c r="B255" s="57" t="s">
        <v>58</v>
      </c>
      <c r="C255" s="45">
        <v>44</v>
      </c>
      <c r="D255" s="1">
        <v>7.76</v>
      </c>
      <c r="E255" s="1">
        <v>22.1</v>
      </c>
      <c r="F255" s="1">
        <v>20.9</v>
      </c>
      <c r="G255" s="1">
        <v>7.3479999999999999</v>
      </c>
      <c r="H255" s="1">
        <v>8.0079999999999991</v>
      </c>
      <c r="I255" s="1">
        <v>-661</v>
      </c>
      <c r="J255" s="1">
        <v>-373</v>
      </c>
      <c r="K255" s="1">
        <v>292</v>
      </c>
      <c r="L255" s="1">
        <f>0.602*25</f>
        <v>15.049999999999999</v>
      </c>
      <c r="M255" s="1">
        <f>147*3</f>
        <v>441</v>
      </c>
      <c r="N255" s="1">
        <f t="shared" si="28"/>
        <v>-0.66100000000000003</v>
      </c>
      <c r="O255" s="1">
        <f t="shared" si="24"/>
        <v>-1.6525000000000001</v>
      </c>
      <c r="P255" s="1">
        <f>I255*N255</f>
        <v>436.92100000000005</v>
      </c>
      <c r="Q255" s="1">
        <f>(P255*10^-6)/D_Calculation_electrode_area!$H$21</f>
        <v>0.12074786010337279</v>
      </c>
      <c r="R255" s="1">
        <f t="shared" si="18"/>
        <v>1.0923025E-3</v>
      </c>
      <c r="S255" s="43">
        <f>10^-G255</f>
        <v>4.4874538993313084E-8</v>
      </c>
      <c r="T255" s="43">
        <f>(M255*10^-3/$Z$4)</f>
        <v>4.5907564442353218E-3</v>
      </c>
      <c r="U255" s="1">
        <f>(L255*10^-3/$Z$3)</f>
        <v>4.4159657849210463E-4</v>
      </c>
      <c r="V255" s="163">
        <f t="shared" si="21"/>
        <v>5.0323530227274265E-3</v>
      </c>
      <c r="W255" s="170">
        <f>V255*$Z$5*10^3</f>
        <v>161.36239967375494</v>
      </c>
    </row>
    <row r="256" spans="1:23">
      <c r="A256" s="6" t="s">
        <v>44</v>
      </c>
      <c r="B256" s="60" t="s">
        <v>58</v>
      </c>
      <c r="C256" s="46">
        <v>44</v>
      </c>
      <c r="D256" s="3">
        <v>7.77</v>
      </c>
      <c r="E256" s="3">
        <v>22</v>
      </c>
      <c r="F256" s="3">
        <v>20.9</v>
      </c>
      <c r="G256" s="3">
        <v>7.46</v>
      </c>
      <c r="H256" s="3">
        <v>8.1050000000000004</v>
      </c>
      <c r="I256" s="3">
        <v>-642</v>
      </c>
      <c r="J256" s="3">
        <v>-396</v>
      </c>
      <c r="K256" s="3">
        <v>236</v>
      </c>
      <c r="L256" s="3">
        <f>0.643*25</f>
        <v>16.074999999999999</v>
      </c>
      <c r="M256" s="3">
        <f>147*3</f>
        <v>441</v>
      </c>
      <c r="N256" s="3">
        <f t="shared" si="28"/>
        <v>-0.64200000000000002</v>
      </c>
      <c r="O256" s="3">
        <f t="shared" si="24"/>
        <v>-1.605</v>
      </c>
      <c r="P256" s="3">
        <f>I256*N256</f>
        <v>412.16399999999999</v>
      </c>
      <c r="Q256" s="3">
        <f>(P256*10^-6)/D_Calculation_electrode_area!$H$21</f>
        <v>0.11390599447416475</v>
      </c>
      <c r="R256" s="3">
        <f t="shared" si="18"/>
        <v>1.0304099999999998E-3</v>
      </c>
      <c r="S256" s="77">
        <f>10^-G256</f>
        <v>3.4673685045253171E-8</v>
      </c>
      <c r="T256" s="77">
        <f>(M256*10^-3/$Z$4)</f>
        <v>4.5907564442353218E-3</v>
      </c>
      <c r="U256" s="3">
        <f>(L256*10^-3/$Z$3)</f>
        <v>4.7167209297412506E-4</v>
      </c>
      <c r="V256" s="164">
        <f t="shared" si="21"/>
        <v>5.062428537209447E-3</v>
      </c>
      <c r="W256" s="171">
        <f>V256*$Z$5*10^3</f>
        <v>162.32677104562092</v>
      </c>
    </row>
    <row r="257" spans="1:23">
      <c r="A257" s="7" t="s">
        <v>23</v>
      </c>
      <c r="B257" s="61">
        <v>22.4</v>
      </c>
      <c r="C257" s="65">
        <v>46</v>
      </c>
      <c r="D257" s="4">
        <v>6.5</v>
      </c>
      <c r="E257" s="4">
        <v>23.2</v>
      </c>
      <c r="F257" s="4">
        <v>21</v>
      </c>
      <c r="G257" s="4">
        <v>6.8239999999999998</v>
      </c>
      <c r="H257" s="4">
        <v>8.6820000000000004</v>
      </c>
      <c r="I257" s="4">
        <v>-465.4</v>
      </c>
      <c r="J257" s="4">
        <v>-348.3</v>
      </c>
      <c r="K257" s="4">
        <v>116.8</v>
      </c>
      <c r="L257" s="4"/>
      <c r="M257" s="4"/>
      <c r="N257" s="4">
        <f>I257/4700</f>
        <v>-9.9021276595744681E-2</v>
      </c>
      <c r="O257" s="4">
        <f t="shared" si="24"/>
        <v>-0.2475531914893617</v>
      </c>
      <c r="P257" s="4">
        <f>I257*N257</f>
        <v>46.084502127659576</v>
      </c>
      <c r="Q257" s="4">
        <f>(P257*10^-6)/D_Calculation_electrode_area!$H$22</f>
        <v>2.5602496035280663E-9</v>
      </c>
      <c r="R257" s="172">
        <f t="shared" si="18"/>
        <v>1.1521125531914894E-4</v>
      </c>
      <c r="S257" s="167">
        <f>10^-G257</f>
        <v>1.4996848355023712E-7</v>
      </c>
      <c r="T257" s="167"/>
      <c r="U257" s="4"/>
      <c r="V257" s="165"/>
      <c r="W257" s="173">
        <f>V257*$Z$5*10^3</f>
        <v>0</v>
      </c>
    </row>
    <row r="258" spans="1:23">
      <c r="A258" s="5" t="s">
        <v>27</v>
      </c>
      <c r="B258" s="57">
        <v>22.4</v>
      </c>
      <c r="C258" s="45">
        <v>46</v>
      </c>
      <c r="D258" s="1">
        <v>6.56</v>
      </c>
      <c r="E258" s="1">
        <v>24.2</v>
      </c>
      <c r="F258" s="1">
        <v>21.2</v>
      </c>
      <c r="G258" s="1">
        <v>6.9340000000000002</v>
      </c>
      <c r="H258" s="1">
        <v>8.7159999999999993</v>
      </c>
      <c r="I258" s="1">
        <v>-517.70000000000005</v>
      </c>
      <c r="J258" s="1">
        <v>-348.1</v>
      </c>
      <c r="K258" s="1">
        <v>169.7</v>
      </c>
      <c r="L258" s="1"/>
      <c r="M258" s="1"/>
      <c r="N258" s="1">
        <f>I258/4700</f>
        <v>-0.11014893617021278</v>
      </c>
      <c r="O258" s="1">
        <f t="shared" si="24"/>
        <v>-0.27537234042553194</v>
      </c>
      <c r="P258" s="1">
        <f>I258*N258</f>
        <v>57.024104255319159</v>
      </c>
      <c r="Q258" s="1">
        <f>(P258*10^-6)/D_Calculation_electrode_area!$H$22</f>
        <v>3.1680051551126191E-9</v>
      </c>
      <c r="R258" s="1">
        <f t="shared" ref="R258:R301" si="29">(P258*10^-6)/0.4</f>
        <v>1.4256026063829788E-4</v>
      </c>
      <c r="S258" s="43">
        <f>10^-G258</f>
        <v>1.1641260294104885E-7</v>
      </c>
      <c r="T258" s="43"/>
      <c r="U258" s="1"/>
      <c r="V258" s="163"/>
      <c r="W258" s="170">
        <f>V258*$Z$5*10^3</f>
        <v>0</v>
      </c>
    </row>
    <row r="259" spans="1:23">
      <c r="A259" s="5" t="s">
        <v>30</v>
      </c>
      <c r="B259" s="57">
        <v>22.4</v>
      </c>
      <c r="C259" s="45">
        <v>46</v>
      </c>
      <c r="D259" s="1">
        <v>6.77</v>
      </c>
      <c r="E259" s="1">
        <v>24.1</v>
      </c>
      <c r="F259" s="1">
        <v>20.9</v>
      </c>
      <c r="G259" s="1">
        <v>6.76</v>
      </c>
      <c r="H259" s="1">
        <v>8.7949999999999999</v>
      </c>
      <c r="I259" s="1">
        <v>-101.8</v>
      </c>
      <c r="J259" s="1">
        <v>-300.10000000000002</v>
      </c>
      <c r="K259" s="1">
        <v>-198.2</v>
      </c>
      <c r="L259" s="1"/>
      <c r="M259" s="1"/>
      <c r="N259" s="1">
        <f>I259/560</f>
        <v>-0.18178571428571427</v>
      </c>
      <c r="O259" s="1">
        <f t="shared" si="24"/>
        <v>-0.45446428571428565</v>
      </c>
      <c r="P259" s="1">
        <f>I259*N259</f>
        <v>18.505785714285711</v>
      </c>
      <c r="Q259" s="1">
        <f>(P259*10^-6)/D_Calculation_electrode_area!$H$22</f>
        <v>1.0280989996751764E-9</v>
      </c>
      <c r="R259" s="1">
        <f t="shared" si="29"/>
        <v>4.6264464285714275E-5</v>
      </c>
      <c r="S259" s="43">
        <f>10^-G259</f>
        <v>1.7378008287493735E-7</v>
      </c>
      <c r="T259" s="43"/>
      <c r="U259" s="1"/>
      <c r="V259" s="163"/>
      <c r="W259" s="170">
        <f>V259*$Z$5*10^3</f>
        <v>0</v>
      </c>
    </row>
    <row r="260" spans="1:23">
      <c r="A260" s="5" t="s">
        <v>32</v>
      </c>
      <c r="B260" s="57">
        <v>22.4</v>
      </c>
      <c r="C260" s="45">
        <v>46</v>
      </c>
      <c r="D260" s="1">
        <v>7.28</v>
      </c>
      <c r="E260" s="1">
        <v>23.9</v>
      </c>
      <c r="F260" s="1">
        <v>20.6</v>
      </c>
      <c r="G260" s="1">
        <v>7.4560000000000004</v>
      </c>
      <c r="H260" s="1">
        <v>7.7679999999999998</v>
      </c>
      <c r="I260" s="1">
        <v>-906</v>
      </c>
      <c r="J260" s="1">
        <v>-416.3</v>
      </c>
      <c r="K260" s="1">
        <v>392.4</v>
      </c>
      <c r="L260" s="1"/>
      <c r="M260" s="1"/>
      <c r="N260" s="1">
        <f t="shared" ref="N260:N271" si="30">I260/1000</f>
        <v>-0.90600000000000003</v>
      </c>
      <c r="O260" s="1">
        <f t="shared" si="24"/>
        <v>-2.2650000000000001</v>
      </c>
      <c r="P260" s="1">
        <f>I260*N260</f>
        <v>820.83600000000001</v>
      </c>
      <c r="Q260" s="1">
        <f>(P260*10^-6)/D_Calculation_electrode_area!$H$22</f>
        <v>4.5601990832840795E-8</v>
      </c>
      <c r="R260" s="1">
        <f t="shared" si="29"/>
        <v>2.0520899999999999E-3</v>
      </c>
      <c r="S260" s="43">
        <f>10^-G260</f>
        <v>3.4994516702835582E-8</v>
      </c>
      <c r="T260" s="43"/>
      <c r="U260" s="1"/>
      <c r="V260" s="163"/>
      <c r="W260" s="170">
        <f>V260*$Z$5*10^3</f>
        <v>0</v>
      </c>
    </row>
    <row r="261" spans="1:23">
      <c r="A261" s="5" t="s">
        <v>34</v>
      </c>
      <c r="B261" s="57">
        <v>22.4</v>
      </c>
      <c r="C261" s="45">
        <v>46</v>
      </c>
      <c r="D261" s="1">
        <v>7.13</v>
      </c>
      <c r="E261" s="1">
        <v>23.8</v>
      </c>
      <c r="F261" s="1">
        <v>21</v>
      </c>
      <c r="G261" s="1">
        <v>7.54</v>
      </c>
      <c r="H261" s="1">
        <v>7.85</v>
      </c>
      <c r="I261" s="1">
        <v>-825</v>
      </c>
      <c r="J261" s="1">
        <v>-383.1</v>
      </c>
      <c r="K261" s="1">
        <v>345.7</v>
      </c>
      <c r="L261" s="1"/>
      <c r="M261" s="1"/>
      <c r="N261" s="1">
        <f t="shared" si="30"/>
        <v>-0.82499999999999996</v>
      </c>
      <c r="O261" s="1">
        <f t="shared" si="24"/>
        <v>-2.0624999999999996</v>
      </c>
      <c r="P261" s="1">
        <f>I261*N261</f>
        <v>680.625</v>
      </c>
      <c r="Q261" s="1">
        <f>(P261*10^-6)/D_Calculation_electrode_area!$H$22</f>
        <v>3.7812492398727961E-8</v>
      </c>
      <c r="R261" s="1">
        <f t="shared" si="29"/>
        <v>1.7015625E-3</v>
      </c>
      <c r="S261" s="43">
        <f>10^-G261</f>
        <v>2.8840315031265985E-8</v>
      </c>
      <c r="T261" s="43"/>
      <c r="U261" s="1"/>
      <c r="V261" s="163"/>
      <c r="W261" s="170">
        <f>V261*$Z$5*10^3</f>
        <v>0</v>
      </c>
    </row>
    <row r="262" spans="1:23">
      <c r="A262" s="5" t="s">
        <v>35</v>
      </c>
      <c r="B262" s="57">
        <v>22.4</v>
      </c>
      <c r="C262" s="45">
        <v>46</v>
      </c>
      <c r="D262" s="1">
        <v>6.62</v>
      </c>
      <c r="E262" s="1">
        <v>23.4</v>
      </c>
      <c r="F262" s="1">
        <v>21.1</v>
      </c>
      <c r="G262" s="1">
        <v>7.4989999999999997</v>
      </c>
      <c r="H262" s="1">
        <v>7.8390000000000004</v>
      </c>
      <c r="I262" s="1">
        <v>-850</v>
      </c>
      <c r="J262" s="1">
        <v>-403.6</v>
      </c>
      <c r="K262" s="1">
        <v>349.8</v>
      </c>
      <c r="L262" s="1"/>
      <c r="M262" s="1"/>
      <c r="N262" s="1">
        <f t="shared" si="30"/>
        <v>-0.85</v>
      </c>
      <c r="O262" s="1">
        <f t="shared" si="24"/>
        <v>-2.125</v>
      </c>
      <c r="P262" s="1">
        <f>I262*N262</f>
        <v>722.5</v>
      </c>
      <c r="Q262" s="1">
        <f>(P262*10^-6)/D_Calculation_electrode_area!$H$22</f>
        <v>4.0138880819953643E-8</v>
      </c>
      <c r="R262" s="1">
        <f t="shared" si="29"/>
        <v>1.8062499999999997E-3</v>
      </c>
      <c r="S262" s="43">
        <f>10^-G262</f>
        <v>3.1695674630434834E-8</v>
      </c>
      <c r="T262" s="43"/>
      <c r="U262" s="1"/>
      <c r="V262" s="163"/>
      <c r="W262" s="170">
        <f>V262*$Z$5*10^3</f>
        <v>0</v>
      </c>
    </row>
    <row r="263" spans="1:23">
      <c r="A263" s="5" t="s">
        <v>36</v>
      </c>
      <c r="B263" s="57">
        <v>22.4</v>
      </c>
      <c r="C263" s="45">
        <v>46</v>
      </c>
      <c r="D263" s="1">
        <v>5.87</v>
      </c>
      <c r="E263" s="1">
        <v>22.9</v>
      </c>
      <c r="F263" s="1">
        <v>21.1</v>
      </c>
      <c r="G263" s="1">
        <v>6.8310000000000004</v>
      </c>
      <c r="H263" s="1">
        <v>8.6709999999999994</v>
      </c>
      <c r="I263" s="1">
        <v>-435.1</v>
      </c>
      <c r="J263" s="1">
        <v>-234.1</v>
      </c>
      <c r="K263" s="1">
        <v>200.7</v>
      </c>
      <c r="L263" s="1"/>
      <c r="M263" s="1"/>
      <c r="N263" s="1">
        <f>I263/4700</f>
        <v>-9.2574468085106387E-2</v>
      </c>
      <c r="O263" s="1">
        <f t="shared" si="24"/>
        <v>-0.23143617021276597</v>
      </c>
      <c r="P263" s="1">
        <f>I263*N263</f>
        <v>40.279151063829794</v>
      </c>
      <c r="Q263" s="1">
        <f>(P263*10^-6)/D_Calculation_electrode_area!$H$21</f>
        <v>1.1131580532265418E-2</v>
      </c>
      <c r="R263" s="1">
        <f t="shared" si="29"/>
        <v>1.0069787765957448E-4</v>
      </c>
      <c r="S263" s="43">
        <f>10^-G263</f>
        <v>1.4757065332758902E-7</v>
      </c>
      <c r="T263" s="43"/>
      <c r="U263" s="1"/>
      <c r="V263" s="163"/>
      <c r="W263" s="170">
        <f>V263*$Z$5*10^3</f>
        <v>0</v>
      </c>
    </row>
    <row r="264" spans="1:23">
      <c r="A264" s="5" t="s">
        <v>37</v>
      </c>
      <c r="B264" s="57">
        <v>22.4</v>
      </c>
      <c r="C264" s="45">
        <v>46</v>
      </c>
      <c r="D264" s="1">
        <v>6.81</v>
      </c>
      <c r="E264" s="1">
        <v>24.1</v>
      </c>
      <c r="F264" s="1">
        <v>21.1</v>
      </c>
      <c r="G264" s="1">
        <v>6.891</v>
      </c>
      <c r="H264" s="1">
        <v>8.7469999999999999</v>
      </c>
      <c r="I264" s="1">
        <v>-84.6</v>
      </c>
      <c r="J264" s="1">
        <v>149.4</v>
      </c>
      <c r="K264" s="1">
        <v>234.3</v>
      </c>
      <c r="L264" s="1"/>
      <c r="M264" s="1"/>
      <c r="N264" s="1">
        <f t="shared" ref="N264:N271" si="31">I264/1000</f>
        <v>-8.4599999999999995E-2</v>
      </c>
      <c r="O264" s="1">
        <f t="shared" si="24"/>
        <v>-0.21149999999999997</v>
      </c>
      <c r="P264" s="1">
        <f>I264*N264</f>
        <v>7.1571599999999993</v>
      </c>
      <c r="Q264" s="1">
        <f>(P264*10^-6)/D_Calculation_electrode_area!$H$21</f>
        <v>1.9779588401964091E-3</v>
      </c>
      <c r="R264" s="1">
        <f t="shared" si="29"/>
        <v>1.7892899999999996E-5</v>
      </c>
      <c r="S264" s="43">
        <f>10^-G264</f>
        <v>1.2852866599436123E-7</v>
      </c>
      <c r="T264" s="43"/>
      <c r="U264" s="1"/>
      <c r="V264" s="163"/>
      <c r="W264" s="170">
        <f>V264*$Z$5*10^3</f>
        <v>0</v>
      </c>
    </row>
    <row r="265" spans="1:23">
      <c r="A265" s="5" t="s">
        <v>38</v>
      </c>
      <c r="B265" s="57">
        <v>22.4</v>
      </c>
      <c r="C265" s="45">
        <v>46</v>
      </c>
      <c r="D265" s="1">
        <v>6.09</v>
      </c>
      <c r="E265" s="1">
        <v>23.1</v>
      </c>
      <c r="F265" s="1">
        <v>21</v>
      </c>
      <c r="G265" s="1">
        <v>6.8369999999999997</v>
      </c>
      <c r="H265" s="1">
        <v>8.8360000000000003</v>
      </c>
      <c r="I265" s="1">
        <v>-161.69999999999999</v>
      </c>
      <c r="J265" s="1">
        <v>95.5</v>
      </c>
      <c r="K265" s="1">
        <v>257.3</v>
      </c>
      <c r="L265" s="1"/>
      <c r="M265" s="1"/>
      <c r="N265" s="1">
        <f t="shared" si="31"/>
        <v>-0.16169999999999998</v>
      </c>
      <c r="O265" s="1">
        <f t="shared" si="24"/>
        <v>-0.40424999999999994</v>
      </c>
      <c r="P265" s="1">
        <f>I265*N265</f>
        <v>26.146889999999996</v>
      </c>
      <c r="Q265" s="1">
        <f>(P265*10^-6)/D_Calculation_electrode_area!$H$21</f>
        <v>7.2259768147062645E-3</v>
      </c>
      <c r="R265" s="1">
        <f t="shared" si="29"/>
        <v>6.5367224999999981E-5</v>
      </c>
      <c r="S265" s="43">
        <f>10^-G265</f>
        <v>1.455459080581966E-7</v>
      </c>
      <c r="T265" s="43"/>
      <c r="U265" s="1"/>
      <c r="V265" s="163"/>
      <c r="W265" s="170">
        <f>V265*$Z$5*10^3</f>
        <v>0</v>
      </c>
    </row>
    <row r="266" spans="1:23">
      <c r="A266" s="5" t="s">
        <v>39</v>
      </c>
      <c r="B266" s="57">
        <v>22.4</v>
      </c>
      <c r="C266" s="45">
        <v>46</v>
      </c>
      <c r="D266" s="1">
        <v>7.98</v>
      </c>
      <c r="E266" s="1">
        <v>27.1</v>
      </c>
      <c r="F266" s="1">
        <v>21</v>
      </c>
      <c r="G266" s="1">
        <v>7.399</v>
      </c>
      <c r="H266" s="1">
        <v>7.9029999999999996</v>
      </c>
      <c r="I266" s="1"/>
      <c r="J266" s="1"/>
      <c r="K266" s="1"/>
      <c r="L266" s="1"/>
      <c r="M266" s="1"/>
      <c r="N266" s="1"/>
      <c r="O266" s="1"/>
      <c r="P266" s="1"/>
      <c r="Q266" s="1"/>
      <c r="R266" s="172"/>
      <c r="S266" s="43">
        <f>10^-G266</f>
        <v>3.9902490236214076E-8</v>
      </c>
      <c r="T266" s="43"/>
      <c r="U266" s="1"/>
      <c r="V266" s="163"/>
      <c r="W266" s="170">
        <f>V266*$Z$5*10^3</f>
        <v>0</v>
      </c>
    </row>
    <row r="267" spans="1:23">
      <c r="A267" s="5" t="s">
        <v>40</v>
      </c>
      <c r="B267" s="57">
        <v>22.4</v>
      </c>
      <c r="C267" s="45">
        <v>46</v>
      </c>
      <c r="D267" s="1">
        <v>7.71</v>
      </c>
      <c r="E267" s="1">
        <v>23.8</v>
      </c>
      <c r="F267" s="1">
        <v>21.2</v>
      </c>
      <c r="G267" s="1">
        <v>7.64</v>
      </c>
      <c r="H267" s="1">
        <v>8.17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43">
        <f>10^-G267</f>
        <v>2.2908676527677693E-8</v>
      </c>
      <c r="T267" s="43"/>
      <c r="U267" s="1"/>
      <c r="V267" s="163"/>
      <c r="W267" s="170">
        <f>V267*$Z$5*10^3</f>
        <v>0</v>
      </c>
    </row>
    <row r="268" spans="1:23">
      <c r="A268" s="5" t="s">
        <v>41</v>
      </c>
      <c r="B268" s="57">
        <v>22.4</v>
      </c>
      <c r="C268" s="45">
        <v>46</v>
      </c>
      <c r="D268" s="1">
        <v>7.7</v>
      </c>
      <c r="E268" s="1">
        <v>24.7</v>
      </c>
      <c r="F268" s="1">
        <v>21.2</v>
      </c>
      <c r="G268" s="1">
        <v>7.3710000000000004</v>
      </c>
      <c r="H268" s="1">
        <v>7.9349999999999996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43">
        <f>10^-G268</f>
        <v>4.2559841313374249E-8</v>
      </c>
      <c r="T268" s="43"/>
      <c r="U268" s="1"/>
      <c r="V268" s="163"/>
      <c r="W268" s="170">
        <f>V268*$Z$5*10^3</f>
        <v>0</v>
      </c>
    </row>
    <row r="269" spans="1:23">
      <c r="A269" s="5" t="s">
        <v>42</v>
      </c>
      <c r="B269" s="57">
        <v>22.4</v>
      </c>
      <c r="C269" s="45">
        <v>46</v>
      </c>
      <c r="D269" s="1">
        <v>7.42</v>
      </c>
      <c r="E269" s="1">
        <v>22.6</v>
      </c>
      <c r="F269" s="1">
        <v>21.2</v>
      </c>
      <c r="G269" s="1">
        <v>7.4269999999999996</v>
      </c>
      <c r="H269" s="1">
        <v>8.1530000000000005</v>
      </c>
      <c r="I269" s="1">
        <v>-728</v>
      </c>
      <c r="J269" s="1">
        <v>-433.5</v>
      </c>
      <c r="K269" s="1">
        <v>289.7</v>
      </c>
      <c r="L269" s="1"/>
      <c r="M269" s="1"/>
      <c r="N269" s="1">
        <f t="shared" ref="N269:N271" si="32">I269/1000</f>
        <v>-0.72799999999999998</v>
      </c>
      <c r="O269" s="1">
        <f t="shared" si="24"/>
        <v>-1.8199999999999998</v>
      </c>
      <c r="P269" s="1">
        <f>I269*N269</f>
        <v>529.98400000000004</v>
      </c>
      <c r="Q269" s="1">
        <f>(P269*10^-6)/D_Calculation_electrode_area!$H$21</f>
        <v>0.14646683013411102</v>
      </c>
      <c r="R269" s="1">
        <f t="shared" ref="R269:R301" si="33">(P269*10^-6)/0.4</f>
        <v>1.32496E-3</v>
      </c>
      <c r="S269" s="43">
        <f>10^-G269</f>
        <v>3.7411058827205278E-8</v>
      </c>
      <c r="T269" s="43"/>
      <c r="U269" s="1"/>
      <c r="V269" s="163"/>
      <c r="W269" s="170">
        <f>V269*$Z$5*10^3</f>
        <v>0</v>
      </c>
    </row>
    <row r="270" spans="1:23">
      <c r="A270" s="5" t="s">
        <v>43</v>
      </c>
      <c r="B270" s="57">
        <v>22.4</v>
      </c>
      <c r="C270" s="45">
        <v>46</v>
      </c>
      <c r="D270" s="1">
        <v>7.47</v>
      </c>
      <c r="E270" s="1">
        <v>21.2</v>
      </c>
      <c r="F270" s="1">
        <v>21.3</v>
      </c>
      <c r="G270" s="1">
        <v>7.38</v>
      </c>
      <c r="H270" s="1">
        <v>8.1739999999999995</v>
      </c>
      <c r="I270" s="1">
        <v>-686</v>
      </c>
      <c r="J270" s="1">
        <v>-434.5</v>
      </c>
      <c r="K270" s="1">
        <v>264.10000000000002</v>
      </c>
      <c r="L270" s="1"/>
      <c r="M270" s="1"/>
      <c r="N270" s="1">
        <f t="shared" si="32"/>
        <v>-0.68600000000000005</v>
      </c>
      <c r="O270" s="1">
        <f t="shared" si="24"/>
        <v>-1.7150000000000001</v>
      </c>
      <c r="P270" s="1">
        <f>I270*N270</f>
        <v>470.59600000000006</v>
      </c>
      <c r="Q270" s="1">
        <f>(P270*10^-6)/D_Calculation_electrode_area!$H$21</f>
        <v>0.13005431181656826</v>
      </c>
      <c r="R270" s="1">
        <f t="shared" si="33"/>
        <v>1.1764900000000001E-3</v>
      </c>
      <c r="S270" s="43">
        <f>10^-G270</f>
        <v>4.1686938347033516E-8</v>
      </c>
      <c r="T270" s="43"/>
      <c r="U270" s="1"/>
      <c r="V270" s="163"/>
      <c r="W270" s="170">
        <f>V270*$Z$5*10^3</f>
        <v>0</v>
      </c>
    </row>
    <row r="271" spans="1:23">
      <c r="A271" s="34" t="s">
        <v>44</v>
      </c>
      <c r="B271" s="58">
        <v>22.4</v>
      </c>
      <c r="C271" s="64">
        <v>46</v>
      </c>
      <c r="D271" s="2">
        <v>7.42</v>
      </c>
      <c r="E271" s="2">
        <v>22.2</v>
      </c>
      <c r="F271" s="2">
        <v>21.4</v>
      </c>
      <c r="G271" s="2">
        <v>7.3250000000000002</v>
      </c>
      <c r="H271" s="2">
        <v>8.2149999999999999</v>
      </c>
      <c r="I271" s="2">
        <v>-708</v>
      </c>
      <c r="J271" s="2">
        <v>-439.6</v>
      </c>
      <c r="K271" s="2">
        <v>271.89999999999998</v>
      </c>
      <c r="L271" s="2"/>
      <c r="M271" s="2"/>
      <c r="N271" s="2">
        <f t="shared" si="32"/>
        <v>-0.70799999999999996</v>
      </c>
      <c r="O271" s="2">
        <f t="shared" si="24"/>
        <v>-1.7699999999999998</v>
      </c>
      <c r="P271" s="2">
        <f>I271*N271</f>
        <v>501.26399999999995</v>
      </c>
      <c r="Q271" s="2">
        <f>(P271*10^-6)/D_Calculation_electrode_area!$H$21</f>
        <v>0.13852974644582669</v>
      </c>
      <c r="R271" s="2">
        <f t="shared" si="33"/>
        <v>1.2531599999999999E-3</v>
      </c>
      <c r="S271" s="78">
        <f>10^-G271</f>
        <v>4.7315125896147995E-8</v>
      </c>
      <c r="T271" s="78"/>
      <c r="U271" s="2"/>
      <c r="V271" s="166"/>
      <c r="W271" s="174">
        <f>V271*$Z$5*10^3</f>
        <v>0</v>
      </c>
    </row>
    <row r="272" spans="1:23">
      <c r="A272" s="35" t="s">
        <v>23</v>
      </c>
      <c r="B272" s="59" t="s">
        <v>59</v>
      </c>
      <c r="C272" s="62">
        <v>49</v>
      </c>
      <c r="D272" s="12">
        <v>7.01</v>
      </c>
      <c r="E272" s="12">
        <v>23.5</v>
      </c>
      <c r="F272" s="12">
        <v>20.3</v>
      </c>
      <c r="G272" s="12">
        <v>6.649</v>
      </c>
      <c r="H272" s="12">
        <v>8.6489999999999991</v>
      </c>
      <c r="I272" s="12">
        <v>-439</v>
      </c>
      <c r="J272" s="12">
        <v>-349.2</v>
      </c>
      <c r="K272" s="12">
        <v>89.8</v>
      </c>
      <c r="L272" s="12"/>
      <c r="M272" s="12"/>
      <c r="N272" s="12">
        <f>I272/4700</f>
        <v>-9.3404255319148935E-2</v>
      </c>
      <c r="O272" s="12">
        <f t="shared" si="24"/>
        <v>-0.23351063829787233</v>
      </c>
      <c r="P272" s="12">
        <f>I272*N272</f>
        <v>41.004468085106382</v>
      </c>
      <c r="Q272" s="12">
        <f>(P272*10^-6)/D_Calculation_electrode_area!$H$22</f>
        <v>2.2780255467870974E-9</v>
      </c>
      <c r="R272" s="168">
        <f t="shared" si="33"/>
        <v>1.0251117021276594E-4</v>
      </c>
      <c r="S272" s="63">
        <f>10^-G272</f>
        <v>2.2438819237827628E-7</v>
      </c>
      <c r="T272" s="63"/>
      <c r="U272" s="12"/>
      <c r="V272" s="162"/>
      <c r="W272" s="169">
        <f>V272*$Z$5*10^3</f>
        <v>0</v>
      </c>
    </row>
    <row r="273" spans="1:25">
      <c r="A273" s="5" t="s">
        <v>27</v>
      </c>
      <c r="B273" s="57" t="s">
        <v>59</v>
      </c>
      <c r="C273" s="45">
        <v>49</v>
      </c>
      <c r="D273" s="1">
        <v>6.94</v>
      </c>
      <c r="E273" s="1">
        <v>24.6</v>
      </c>
      <c r="F273" s="1">
        <v>20.3</v>
      </c>
      <c r="G273" s="1">
        <v>6.7240000000000002</v>
      </c>
      <c r="H273" s="1">
        <v>8.6820000000000004</v>
      </c>
      <c r="I273" s="1">
        <v>-519.20000000000005</v>
      </c>
      <c r="J273" s="1">
        <v>-346.2</v>
      </c>
      <c r="K273" s="1">
        <v>186.7</v>
      </c>
      <c r="L273" s="1"/>
      <c r="M273" s="1"/>
      <c r="N273" s="1">
        <f>I273/4700</f>
        <v>-0.11046808510638299</v>
      </c>
      <c r="O273" s="1">
        <f t="shared" si="24"/>
        <v>-0.27617021276595749</v>
      </c>
      <c r="P273" s="1">
        <f>I273*N273</f>
        <v>57.355029787234052</v>
      </c>
      <c r="Q273" s="1">
        <f>(P273*10^-6)/D_Calculation_electrode_area!$H$22</f>
        <v>3.1863899031898671E-9</v>
      </c>
      <c r="R273" s="1">
        <f t="shared" si="33"/>
        <v>1.4338757446808511E-4</v>
      </c>
      <c r="S273" s="43">
        <f>10^-G273</f>
        <v>1.8879913490962887E-7</v>
      </c>
      <c r="T273" s="43"/>
      <c r="U273" s="1"/>
      <c r="V273" s="163"/>
      <c r="W273" s="170">
        <f>V273*$Z$5*10^3</f>
        <v>0</v>
      </c>
    </row>
    <row r="274" spans="1:25">
      <c r="A274" s="5" t="s">
        <v>30</v>
      </c>
      <c r="B274" s="57" t="s">
        <v>59</v>
      </c>
      <c r="C274" s="45">
        <v>49</v>
      </c>
      <c r="D274" s="1">
        <v>6.78</v>
      </c>
      <c r="E274" s="1">
        <v>24.7</v>
      </c>
      <c r="F274" s="1">
        <v>20.2</v>
      </c>
      <c r="G274" s="1">
        <v>6.5030000000000001</v>
      </c>
      <c r="H274" s="1">
        <v>8.7639999999999993</v>
      </c>
      <c r="I274" s="1">
        <v>-104</v>
      </c>
      <c r="J274" s="1">
        <v>-261.5</v>
      </c>
      <c r="K274" s="1">
        <v>-158.1</v>
      </c>
      <c r="L274" s="1"/>
      <c r="M274" s="1"/>
      <c r="N274" s="1">
        <f>I274/560</f>
        <v>-0.18571428571428572</v>
      </c>
      <c r="O274" s="1">
        <f t="shared" si="24"/>
        <v>-0.4642857142857143</v>
      </c>
      <c r="P274" s="1">
        <f>I274*N274</f>
        <v>19.314285714285717</v>
      </c>
      <c r="Q274" s="1">
        <f>(P274*10^-6)/D_Calculation_electrode_area!$H$22</f>
        <v>1.0730156573124534E-9</v>
      </c>
      <c r="R274" s="1">
        <f t="shared" si="29"/>
        <v>4.8285714285714285E-5</v>
      </c>
      <c r="S274" s="43">
        <f>10^-G274</f>
        <v>3.1405086938762108E-7</v>
      </c>
      <c r="T274" s="43"/>
      <c r="U274" s="1"/>
      <c r="V274" s="163"/>
      <c r="W274" s="170">
        <f>V274*$Z$5*10^3</f>
        <v>0</v>
      </c>
    </row>
    <row r="275" spans="1:25">
      <c r="A275" s="5" t="s">
        <v>32</v>
      </c>
      <c r="B275" s="57" t="s">
        <v>59</v>
      </c>
      <c r="C275" s="45">
        <v>49</v>
      </c>
      <c r="D275" s="1">
        <v>7.54</v>
      </c>
      <c r="E275" s="1">
        <v>24.3</v>
      </c>
      <c r="F275" s="1">
        <v>20.399999999999999</v>
      </c>
      <c r="G275" s="1">
        <v>7.5350000000000001</v>
      </c>
      <c r="H275" s="1">
        <v>7.6840000000000002</v>
      </c>
      <c r="I275" s="1">
        <v>-549</v>
      </c>
      <c r="J275" s="1">
        <v>-405.1</v>
      </c>
      <c r="K275" s="1">
        <v>120.5</v>
      </c>
      <c r="L275" s="1"/>
      <c r="M275" s="1"/>
      <c r="N275" s="1">
        <f t="shared" ref="N275:N286" si="34">I275/1000</f>
        <v>-0.54900000000000004</v>
      </c>
      <c r="O275" s="1">
        <f t="shared" si="24"/>
        <v>-1.3725000000000001</v>
      </c>
      <c r="P275" s="1">
        <f>I275*N275</f>
        <v>301.40100000000001</v>
      </c>
      <c r="Q275" s="1">
        <f>(P275*10^-6)/D_Calculation_electrode_area!$H$22</f>
        <v>1.6744496633930588E-8</v>
      </c>
      <c r="R275" s="1">
        <f t="shared" si="29"/>
        <v>7.5350250000000003E-4</v>
      </c>
      <c r="S275" s="43">
        <f>10^-G275</f>
        <v>2.9174270140011595E-8</v>
      </c>
      <c r="T275" s="43"/>
      <c r="U275" s="1"/>
      <c r="V275" s="163"/>
      <c r="W275" s="170">
        <f>V275*$Z$5*10^3</f>
        <v>0</v>
      </c>
    </row>
    <row r="276" spans="1:25">
      <c r="A276" s="5" t="s">
        <v>34</v>
      </c>
      <c r="B276" s="57" t="s">
        <v>59</v>
      </c>
      <c r="C276" s="45">
        <v>49</v>
      </c>
      <c r="D276" s="1">
        <v>7.13</v>
      </c>
      <c r="E276" s="1">
        <v>24.4</v>
      </c>
      <c r="F276" s="1">
        <v>20.2</v>
      </c>
      <c r="G276" s="1">
        <v>7.5650000000000004</v>
      </c>
      <c r="H276" s="1">
        <v>7.8390000000000004</v>
      </c>
      <c r="I276" s="1">
        <v>-520.20000000000005</v>
      </c>
      <c r="J276" s="1">
        <v>-387.4</v>
      </c>
      <c r="K276" s="1">
        <v>122</v>
      </c>
      <c r="L276" s="1"/>
      <c r="M276" s="1"/>
      <c r="N276" s="1">
        <f t="shared" si="34"/>
        <v>-0.5202</v>
      </c>
      <c r="O276" s="1">
        <f t="shared" si="24"/>
        <v>-1.3005</v>
      </c>
      <c r="P276" s="1">
        <f>I276*N276</f>
        <v>270.60804000000002</v>
      </c>
      <c r="Q276" s="1">
        <f>(P276*10^-6)/D_Calculation_electrode_area!$H$22</f>
        <v>1.5033776977828717E-8</v>
      </c>
      <c r="R276" s="1">
        <f t="shared" si="29"/>
        <v>6.7652009999999993E-4</v>
      </c>
      <c r="S276" s="43">
        <f>10^-G276</f>
        <v>2.7227013080779058E-8</v>
      </c>
      <c r="T276" s="43"/>
      <c r="U276" s="1"/>
      <c r="V276" s="163"/>
      <c r="W276" s="170">
        <f>V276*$Z$5*10^3</f>
        <v>0</v>
      </c>
    </row>
    <row r="277" spans="1:25">
      <c r="A277" s="5" t="s">
        <v>35</v>
      </c>
      <c r="B277" s="57" t="s">
        <v>59</v>
      </c>
      <c r="C277" s="45">
        <v>49</v>
      </c>
      <c r="D277" s="1">
        <v>7.38</v>
      </c>
      <c r="E277" s="1">
        <v>23.6</v>
      </c>
      <c r="F277" s="1">
        <v>20.3</v>
      </c>
      <c r="G277" s="1">
        <v>7.548</v>
      </c>
      <c r="H277" s="1">
        <v>7.7880000000000003</v>
      </c>
      <c r="I277" s="1">
        <v>-820</v>
      </c>
      <c r="J277" s="1">
        <v>-422.8</v>
      </c>
      <c r="K277" s="1">
        <v>388.8</v>
      </c>
      <c r="L277" s="1"/>
      <c r="M277" s="1"/>
      <c r="N277" s="1">
        <f t="shared" si="34"/>
        <v>-0.82</v>
      </c>
      <c r="O277" s="1">
        <f t="shared" si="24"/>
        <v>-2.0499999999999998</v>
      </c>
      <c r="P277" s="1">
        <f>I277*N277</f>
        <v>672.4</v>
      </c>
      <c r="Q277" s="1">
        <f>(P277*10^-6)/D_Calculation_electrode_area!$H$22</f>
        <v>3.7355548046140944E-8</v>
      </c>
      <c r="R277" s="1">
        <f t="shared" si="29"/>
        <v>1.6809999999999998E-3</v>
      </c>
      <c r="S277" s="43">
        <f>10^-G277</f>
        <v>2.8313919957993759E-8</v>
      </c>
      <c r="T277" s="43"/>
      <c r="U277" s="1"/>
      <c r="V277" s="163"/>
      <c r="W277" s="170">
        <f>V277*$Z$5*10^3</f>
        <v>0</v>
      </c>
      <c r="Y277" s="41"/>
    </row>
    <row r="278" spans="1:25">
      <c r="A278" s="5" t="s">
        <v>36</v>
      </c>
      <c r="B278" s="57" t="s">
        <v>59</v>
      </c>
      <c r="C278" s="45">
        <v>49</v>
      </c>
      <c r="D278" s="1">
        <v>6.73</v>
      </c>
      <c r="E278" s="1">
        <v>23.2</v>
      </c>
      <c r="F278" s="1">
        <v>20.2</v>
      </c>
      <c r="G278" s="1">
        <v>6.8239999999999998</v>
      </c>
      <c r="H278" s="1">
        <v>8.734</v>
      </c>
      <c r="I278" s="1">
        <v>-436</v>
      </c>
      <c r="J278" s="1">
        <v>-228</v>
      </c>
      <c r="K278" s="1">
        <v>209.2</v>
      </c>
      <c r="L278" s="1"/>
      <c r="M278" s="1"/>
      <c r="N278" s="1">
        <f>I278/4700</f>
        <v>-9.2765957446808517E-2</v>
      </c>
      <c r="O278" s="1">
        <f t="shared" si="24"/>
        <v>-0.23191489361702128</v>
      </c>
      <c r="P278" s="1">
        <f>I278*N278</f>
        <v>40.445957446808514</v>
      </c>
      <c r="Q278" s="1">
        <f>(P278*10^-6)/D_Calculation_electrode_area!$H$21</f>
        <v>1.1177679286493903E-2</v>
      </c>
      <c r="R278" s="1">
        <f t="shared" si="29"/>
        <v>1.0111489361702128E-4</v>
      </c>
      <c r="S278" s="43">
        <f>10^-G278</f>
        <v>1.4996848355023712E-7</v>
      </c>
      <c r="T278" s="43"/>
      <c r="U278" s="1"/>
      <c r="V278" s="163"/>
      <c r="W278" s="170">
        <f>V278*$Z$5*10^3</f>
        <v>0</v>
      </c>
    </row>
    <row r="279" spans="1:25">
      <c r="A279" s="5" t="s">
        <v>37</v>
      </c>
      <c r="B279" s="57" t="s">
        <v>59</v>
      </c>
      <c r="C279" s="45">
        <v>49</v>
      </c>
      <c r="D279" s="1">
        <v>7.11</v>
      </c>
      <c r="E279" s="1">
        <v>24.6</v>
      </c>
      <c r="F279" s="1">
        <v>20.3</v>
      </c>
      <c r="G279" s="1">
        <v>6.915</v>
      </c>
      <c r="H279" s="1">
        <v>8.7840000000000007</v>
      </c>
      <c r="I279" s="1">
        <v>-86</v>
      </c>
      <c r="J279" s="1">
        <v>141.4</v>
      </c>
      <c r="K279" s="1">
        <v>228.2</v>
      </c>
      <c r="L279" s="1"/>
      <c r="M279" s="1"/>
      <c r="N279" s="1">
        <f t="shared" ref="N279:N286" si="35">I279/1000</f>
        <v>-8.5999999999999993E-2</v>
      </c>
      <c r="O279" s="1">
        <f t="shared" si="24"/>
        <v>-0.21499999999999997</v>
      </c>
      <c r="P279" s="1">
        <f>I279*N279</f>
        <v>7.395999999999999</v>
      </c>
      <c r="Q279" s="1">
        <f>(P279*10^-6)/D_Calculation_electrode_area!$H$21</f>
        <v>2.0439648662448013E-3</v>
      </c>
      <c r="R279" s="1">
        <f t="shared" si="29"/>
        <v>1.8489999999999994E-5</v>
      </c>
      <c r="S279" s="43">
        <f>10^-G279</f>
        <v>1.2161860006463664E-7</v>
      </c>
      <c r="T279" s="43"/>
      <c r="U279" s="1"/>
      <c r="V279" s="163"/>
      <c r="W279" s="170">
        <f>V279*$Z$5*10^3</f>
        <v>0</v>
      </c>
    </row>
    <row r="280" spans="1:25">
      <c r="A280" s="5" t="s">
        <v>38</v>
      </c>
      <c r="B280" s="57" t="s">
        <v>59</v>
      </c>
      <c r="C280" s="45">
        <v>49</v>
      </c>
      <c r="D280" s="1">
        <v>6.94</v>
      </c>
      <c r="E280" s="1">
        <v>23.7</v>
      </c>
      <c r="F280" s="1">
        <v>20.2</v>
      </c>
      <c r="G280" s="1">
        <v>7.024</v>
      </c>
      <c r="H280" s="1">
        <v>8.8680000000000003</v>
      </c>
      <c r="I280" s="1">
        <v>-125</v>
      </c>
      <c r="J280" s="1">
        <v>135.5</v>
      </c>
      <c r="K280" s="1">
        <v>262.3</v>
      </c>
      <c r="L280" s="1"/>
      <c r="M280" s="1"/>
      <c r="N280" s="1">
        <f t="shared" si="35"/>
        <v>-0.125</v>
      </c>
      <c r="O280" s="1">
        <f t="shared" si="24"/>
        <v>-0.3125</v>
      </c>
      <c r="P280" s="1">
        <f>I280*N280</f>
        <v>15.625</v>
      </c>
      <c r="Q280" s="1">
        <f>(P280*10^-6)/D_Calculation_electrode_area!$H$21</f>
        <v>4.318138322752167E-3</v>
      </c>
      <c r="R280" s="1">
        <f t="shared" si="29"/>
        <v>3.9062500000000001E-5</v>
      </c>
      <c r="S280" s="43">
        <f>10^-G280</f>
        <v>9.4623716136578983E-8</v>
      </c>
      <c r="T280" s="43"/>
      <c r="U280" s="1"/>
      <c r="V280" s="163"/>
      <c r="W280" s="170">
        <f>V280*$Z$5*10^3</f>
        <v>0</v>
      </c>
    </row>
    <row r="281" spans="1:25">
      <c r="A281" s="5" t="s">
        <v>39</v>
      </c>
      <c r="B281" s="57" t="s">
        <v>59</v>
      </c>
      <c r="C281" s="45">
        <v>49</v>
      </c>
      <c r="D281" s="1">
        <v>7.12</v>
      </c>
      <c r="E281" s="1">
        <v>25.1</v>
      </c>
      <c r="F281" s="1">
        <v>20.399999999999999</v>
      </c>
      <c r="G281" s="1">
        <v>7.556</v>
      </c>
      <c r="H281" s="1">
        <v>7.9660000000000002</v>
      </c>
      <c r="I281" s="1"/>
      <c r="J281" s="1"/>
      <c r="K281" s="1"/>
      <c r="L281" s="1"/>
      <c r="M281" s="1"/>
      <c r="N281" s="1"/>
      <c r="O281" s="1"/>
      <c r="P281" s="1"/>
      <c r="Q281" s="1"/>
      <c r="R281" s="172"/>
      <c r="S281" s="43">
        <f>10^-G281</f>
        <v>2.77971326775928E-8</v>
      </c>
      <c r="T281" s="43"/>
      <c r="U281" s="1"/>
      <c r="V281" s="163"/>
      <c r="W281" s="170">
        <f>V281*$Z$5*10^3</f>
        <v>0</v>
      </c>
    </row>
    <row r="282" spans="1:25">
      <c r="A282" s="5" t="s">
        <v>40</v>
      </c>
      <c r="B282" s="57" t="s">
        <v>59</v>
      </c>
      <c r="C282" s="45">
        <v>49</v>
      </c>
      <c r="D282" s="1">
        <v>7.66</v>
      </c>
      <c r="E282" s="1">
        <v>23.6</v>
      </c>
      <c r="F282" s="1">
        <v>20.399999999999999</v>
      </c>
      <c r="G282" s="1">
        <v>7.609</v>
      </c>
      <c r="H282" s="1">
        <v>8.0540000000000003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43">
        <f>10^-G282</f>
        <v>2.4603676041476245E-8</v>
      </c>
      <c r="T282" s="43"/>
      <c r="U282" s="1"/>
      <c r="V282" s="163"/>
      <c r="W282" s="170">
        <f>V282*$Z$5*10^3</f>
        <v>0</v>
      </c>
    </row>
    <row r="283" spans="1:25">
      <c r="A283" s="5" t="s">
        <v>41</v>
      </c>
      <c r="B283" s="57" t="s">
        <v>59</v>
      </c>
      <c r="C283" s="45">
        <v>49</v>
      </c>
      <c r="D283" s="1">
        <v>6.97</v>
      </c>
      <c r="E283" s="1">
        <v>23.7</v>
      </c>
      <c r="F283" s="1">
        <v>20.5</v>
      </c>
      <c r="G283" s="1">
        <v>7.524</v>
      </c>
      <c r="H283" s="1">
        <v>7.9539999999999997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43">
        <f>10^-G283</f>
        <v>2.9922646366081832E-8</v>
      </c>
      <c r="T283" s="43"/>
      <c r="U283" s="1"/>
      <c r="V283" s="163"/>
      <c r="W283" s="170">
        <f>V283*$Z$5*10^3</f>
        <v>0</v>
      </c>
    </row>
    <row r="284" spans="1:25">
      <c r="A284" s="5" t="s">
        <v>42</v>
      </c>
      <c r="B284" s="57" t="s">
        <v>59</v>
      </c>
      <c r="C284" s="45">
        <v>49</v>
      </c>
      <c r="D284" s="1">
        <v>8.01</v>
      </c>
      <c r="E284" s="1">
        <v>22.8</v>
      </c>
      <c r="F284" s="1">
        <v>20.6</v>
      </c>
      <c r="G284" s="1">
        <v>7.4249999999999998</v>
      </c>
      <c r="H284" s="1">
        <v>8.1839999999999993</v>
      </c>
      <c r="I284" s="1">
        <v>-730</v>
      </c>
      <c r="J284" s="1">
        <v>-437.9</v>
      </c>
      <c r="K284" s="1">
        <v>290.2</v>
      </c>
      <c r="L284" s="1"/>
      <c r="M284" s="1"/>
      <c r="N284" s="1">
        <f t="shared" ref="N284:N286" si="36">I284/1000</f>
        <v>-0.73</v>
      </c>
      <c r="O284" s="1">
        <f t="shared" si="24"/>
        <v>-1.825</v>
      </c>
      <c r="P284" s="1">
        <f>I284*N284</f>
        <v>532.9</v>
      </c>
      <c r="Q284" s="1">
        <f>(P284*10^-6)/D_Calculation_electrode_area!$H$21</f>
        <v>0.14727269838045631</v>
      </c>
      <c r="R284" s="1">
        <f t="shared" si="33"/>
        <v>1.3322499999999999E-3</v>
      </c>
      <c r="S284" s="43">
        <f>10^-G284</f>
        <v>3.7583740428844414E-8</v>
      </c>
      <c r="T284" s="43"/>
      <c r="U284" s="1"/>
      <c r="V284" s="163"/>
      <c r="W284" s="170">
        <f>V284*$Z$5*10^3</f>
        <v>0</v>
      </c>
    </row>
    <row r="285" spans="1:25">
      <c r="A285" s="5" t="s">
        <v>43</v>
      </c>
      <c r="B285" s="57" t="s">
        <v>59</v>
      </c>
      <c r="C285" s="45">
        <v>49</v>
      </c>
      <c r="D285" s="1">
        <v>7.82</v>
      </c>
      <c r="E285" s="1">
        <v>22.5</v>
      </c>
      <c r="F285" s="1">
        <v>20.5</v>
      </c>
      <c r="G285" s="1">
        <v>7.4189999999999996</v>
      </c>
      <c r="H285" s="1">
        <v>8.18</v>
      </c>
      <c r="I285" s="1">
        <v>-537</v>
      </c>
      <c r="J285" s="1">
        <v>-436.2</v>
      </c>
      <c r="K285" s="1">
        <v>90.5</v>
      </c>
      <c r="L285" s="1"/>
      <c r="M285" s="1"/>
      <c r="N285" s="1">
        <f t="shared" si="36"/>
        <v>-0.53700000000000003</v>
      </c>
      <c r="O285" s="1">
        <f t="shared" si="24"/>
        <v>-1.3425</v>
      </c>
      <c r="P285" s="1">
        <f>I285*N285</f>
        <v>288.36900000000003</v>
      </c>
      <c r="Q285" s="1">
        <f>(P285*10^-6)/D_Calculation_electrode_area!$H$21</f>
        <v>7.9693902719598059E-2</v>
      </c>
      <c r="R285" s="1">
        <f t="shared" si="33"/>
        <v>7.2092249999999999E-4</v>
      </c>
      <c r="S285" s="43">
        <f>10^-G285</f>
        <v>3.8106582339377327E-8</v>
      </c>
      <c r="T285" s="43"/>
      <c r="U285" s="1"/>
      <c r="V285" s="163"/>
      <c r="W285" s="170">
        <f>V285*$Z$5*10^3</f>
        <v>0</v>
      </c>
    </row>
    <row r="286" spans="1:25">
      <c r="A286" s="6" t="s">
        <v>44</v>
      </c>
      <c r="B286" s="60" t="s">
        <v>59</v>
      </c>
      <c r="C286" s="46">
        <v>49</v>
      </c>
      <c r="D286" s="3">
        <v>7.66</v>
      </c>
      <c r="E286" s="3">
        <v>22.4</v>
      </c>
      <c r="F286" s="3">
        <v>20.6</v>
      </c>
      <c r="G286" s="3">
        <v>7.4960000000000004</v>
      </c>
      <c r="H286" s="3">
        <v>8.2029999999999994</v>
      </c>
      <c r="I286" s="3">
        <v>-519</v>
      </c>
      <c r="J286" s="3">
        <v>-440.1</v>
      </c>
      <c r="K286" s="3">
        <v>69.599999999999994</v>
      </c>
      <c r="L286" s="3"/>
      <c r="M286" s="3"/>
      <c r="N286" s="3">
        <f t="shared" si="36"/>
        <v>-0.51900000000000002</v>
      </c>
      <c r="O286" s="3">
        <f t="shared" si="24"/>
        <v>-1.2974999999999999</v>
      </c>
      <c r="P286" s="3">
        <f>I286*N286</f>
        <v>269.36099999999999</v>
      </c>
      <c r="Q286" s="3">
        <f>(P286*10^-6)/D_Calculation_electrode_area!$H$21</f>
        <v>7.4440835632310173E-2</v>
      </c>
      <c r="R286" s="3">
        <f t="shared" si="33"/>
        <v>6.7340249999999987E-4</v>
      </c>
      <c r="S286" s="77">
        <f>10^-G286</f>
        <v>3.1915378551007498E-8</v>
      </c>
      <c r="T286" s="77"/>
      <c r="U286" s="3"/>
      <c r="V286" s="164"/>
      <c r="W286" s="171">
        <f>V286*$Z$5*10^3</f>
        <v>0</v>
      </c>
    </row>
    <row r="287" spans="1:25">
      <c r="A287" s="7" t="s">
        <v>23</v>
      </c>
      <c r="B287" s="61" t="s">
        <v>60</v>
      </c>
      <c r="C287" s="65">
        <v>51</v>
      </c>
      <c r="D287" s="4">
        <v>6.83</v>
      </c>
      <c r="E287" s="4">
        <v>23.6</v>
      </c>
      <c r="F287" s="4">
        <v>20.7</v>
      </c>
      <c r="G287" s="4">
        <v>6.6429999999999998</v>
      </c>
      <c r="H287" s="4">
        <v>8.6950000000000003</v>
      </c>
      <c r="I287" s="4">
        <v>-427.7</v>
      </c>
      <c r="J287" s="4">
        <v>-350.1</v>
      </c>
      <c r="K287" s="4">
        <v>77.5</v>
      </c>
      <c r="L287" s="4">
        <f>0.182*8</f>
        <v>1.456</v>
      </c>
      <c r="M287" s="4">
        <f>132*3</f>
        <v>396</v>
      </c>
      <c r="N287" s="4">
        <f>I287/4700</f>
        <v>-9.0999999999999998E-2</v>
      </c>
      <c r="O287" s="4">
        <f t="shared" si="24"/>
        <v>-0.22749999999999998</v>
      </c>
      <c r="P287" s="4">
        <f>I287*N287</f>
        <v>38.920699999999997</v>
      </c>
      <c r="Q287" s="4">
        <f>(P287*10^-6)/D_Calculation_electrode_area!$H$22</f>
        <v>2.1622606764417573E-9</v>
      </c>
      <c r="R287" s="172">
        <f t="shared" si="33"/>
        <v>9.730174999999998E-5</v>
      </c>
      <c r="S287" s="167">
        <f>10^-G287</f>
        <v>2.2750974307720689E-7</v>
      </c>
      <c r="T287" s="167">
        <f>(M287*10^-3/$Z$4)</f>
        <v>4.1223119091092688E-3</v>
      </c>
      <c r="U287" s="4">
        <f>(L287*10^-3/$Z$3)</f>
        <v>4.2721901547143153E-5</v>
      </c>
      <c r="V287" s="165">
        <f t="shared" ref="V274:V301" si="37">T287+U287</f>
        <v>4.1650338106564121E-3</v>
      </c>
      <c r="W287" s="173">
        <f>V287*$Z$5*10^3</f>
        <v>133.55180913869785</v>
      </c>
    </row>
    <row r="288" spans="1:25">
      <c r="A288" s="5" t="s">
        <v>27</v>
      </c>
      <c r="B288" s="57" t="s">
        <v>60</v>
      </c>
      <c r="C288" s="45">
        <v>51</v>
      </c>
      <c r="D288" s="1">
        <v>7.27</v>
      </c>
      <c r="E288" s="1">
        <v>25.3</v>
      </c>
      <c r="F288" s="1">
        <v>20.3</v>
      </c>
      <c r="G288" s="1">
        <v>6.673</v>
      </c>
      <c r="H288" s="1">
        <v>8.7140000000000004</v>
      </c>
      <c r="I288" s="1">
        <v>-554.20000000000005</v>
      </c>
      <c r="J288" s="1">
        <v>-346</v>
      </c>
      <c r="K288" s="1">
        <v>181.2</v>
      </c>
      <c r="L288" s="1">
        <f>0.276*8</f>
        <v>2.2080000000000002</v>
      </c>
      <c r="M288" s="1">
        <f>123*3</f>
        <v>369</v>
      </c>
      <c r="N288" s="1">
        <f>I288/4700</f>
        <v>-0.11791489361702129</v>
      </c>
      <c r="O288" s="1">
        <f t="shared" si="24"/>
        <v>-0.29478723404255319</v>
      </c>
      <c r="P288" s="1">
        <f>I288*N288</f>
        <v>65.348434042553208</v>
      </c>
      <c r="Q288" s="1">
        <f>(P288*10^-6)/D_Calculation_electrode_area!$H$22</f>
        <v>3.6304678281033144E-9</v>
      </c>
      <c r="R288" s="1">
        <f t="shared" si="33"/>
        <v>1.6337108510638298E-4</v>
      </c>
      <c r="S288" s="43">
        <f>10^-G288</f>
        <v>2.1232444620002145E-7</v>
      </c>
      <c r="T288" s="43">
        <f>(M288*10^-3/$Z$4)</f>
        <v>3.841245188033636E-3</v>
      </c>
      <c r="U288" s="1">
        <f>(L288*10^-3/$Z$3)</f>
        <v>6.4787059489074231E-5</v>
      </c>
      <c r="V288" s="163">
        <f t="shared" si="37"/>
        <v>3.9060322475227105E-3</v>
      </c>
      <c r="W288" s="170">
        <f>V288*$Z$5*10^3</f>
        <v>125.2469240168157</v>
      </c>
    </row>
    <row r="289" spans="1:23">
      <c r="A289" s="5" t="s">
        <v>30</v>
      </c>
      <c r="B289" s="57" t="s">
        <v>60</v>
      </c>
      <c r="C289" s="45">
        <v>51</v>
      </c>
      <c r="D289" s="1">
        <v>7.07</v>
      </c>
      <c r="E289" s="1">
        <v>24.8</v>
      </c>
      <c r="F289" s="1">
        <v>20.3</v>
      </c>
      <c r="G289" s="1">
        <v>6.5119999999999996</v>
      </c>
      <c r="H289" s="1">
        <v>8.8140000000000001</v>
      </c>
      <c r="I289" s="1">
        <v>-101</v>
      </c>
      <c r="J289" s="1">
        <v>-203.5</v>
      </c>
      <c r="K289" s="1">
        <v>-105</v>
      </c>
      <c r="L289" s="1">
        <f>0.512*1</f>
        <v>0.51200000000000001</v>
      </c>
      <c r="M289" s="1">
        <f>134*3</f>
        <v>402</v>
      </c>
      <c r="N289" s="1">
        <f>I289/560</f>
        <v>-0.18035714285714285</v>
      </c>
      <c r="O289" s="1">
        <f t="shared" si="24"/>
        <v>-0.4508928571428571</v>
      </c>
      <c r="P289" s="1">
        <f>I289*N289</f>
        <v>18.216071428571428</v>
      </c>
      <c r="Q289" s="1">
        <f>(P289*10^-6)/D_Calculation_electrode_area!$H$22</f>
        <v>1.0120037648154897E-9</v>
      </c>
      <c r="R289" s="1">
        <f t="shared" si="29"/>
        <v>4.5540178571428567E-5</v>
      </c>
      <c r="S289" s="43">
        <f>10^-G289</f>
        <v>3.0760968147407094E-7</v>
      </c>
      <c r="T289" s="43">
        <f>(M289*10^-3/$Z$4)</f>
        <v>4.184771180459409E-3</v>
      </c>
      <c r="U289" s="1">
        <f>(L289*10^-3/$Z$3)</f>
        <v>1.5023086258336052E-5</v>
      </c>
      <c r="V289" s="163">
        <f t="shared" si="37"/>
        <v>4.1997942667177449E-3</v>
      </c>
      <c r="W289" s="170">
        <f>V289*$Z$5*10^3</f>
        <v>134.6664031623045</v>
      </c>
    </row>
    <row r="290" spans="1:23">
      <c r="A290" s="5" t="s">
        <v>32</v>
      </c>
      <c r="B290" s="57" t="s">
        <v>60</v>
      </c>
      <c r="C290" s="45">
        <v>51</v>
      </c>
      <c r="D290" s="1">
        <v>7.5</v>
      </c>
      <c r="E290" s="1">
        <v>24.3</v>
      </c>
      <c r="F290" s="1">
        <v>20.399999999999999</v>
      </c>
      <c r="G290" s="1">
        <v>7.5960000000000001</v>
      </c>
      <c r="H290" s="1">
        <v>7.7569999999999997</v>
      </c>
      <c r="I290" s="1">
        <v>-514.20000000000005</v>
      </c>
      <c r="J290" s="1">
        <v>-388</v>
      </c>
      <c r="K290" s="1">
        <v>56</v>
      </c>
      <c r="L290" s="1">
        <f>1.14*8</f>
        <v>9.1199999999999992</v>
      </c>
      <c r="M290" s="1">
        <f>81.5*3</f>
        <v>244.5</v>
      </c>
      <c r="N290" s="1">
        <f>I290/1000</f>
        <v>-0.51419999999999999</v>
      </c>
      <c r="O290" s="1">
        <f t="shared" si="24"/>
        <v>-1.2854999999999999</v>
      </c>
      <c r="P290" s="1">
        <f>I290*N290</f>
        <v>264.40164000000004</v>
      </c>
      <c r="Q290" s="1">
        <f>(P290*10^-6)/D_Calculation_electrode_area!$H$22</f>
        <v>1.468897704714227E-8</v>
      </c>
      <c r="R290" s="1">
        <f t="shared" si="29"/>
        <v>6.6100410000000001E-4</v>
      </c>
      <c r="S290" s="43">
        <f>10^-G290</f>
        <v>2.5351286304979005E-8</v>
      </c>
      <c r="T290" s="43">
        <f>(M290*10^-3/$Z$4)</f>
        <v>2.5452153075182222E-3</v>
      </c>
      <c r="U290" s="1">
        <f>(L290*10^-3/$Z$3)</f>
        <v>2.6759872397661094E-4</v>
      </c>
      <c r="V290" s="163">
        <f t="shared" si="37"/>
        <v>2.8128140314948331E-3</v>
      </c>
      <c r="W290" s="170">
        <f>V290*$Z$5*10^3</f>
        <v>90.192881919881813</v>
      </c>
    </row>
    <row r="291" spans="1:23">
      <c r="A291" s="5" t="s">
        <v>34</v>
      </c>
      <c r="B291" s="57" t="s">
        <v>60</v>
      </c>
      <c r="C291" s="45">
        <v>51</v>
      </c>
      <c r="D291" s="1">
        <v>7.52</v>
      </c>
      <c r="E291" s="1">
        <v>24.6</v>
      </c>
      <c r="F291" s="1">
        <v>20.6</v>
      </c>
      <c r="G291" s="1">
        <v>7.585</v>
      </c>
      <c r="H291" s="1">
        <v>7.8929999999999998</v>
      </c>
      <c r="I291" s="1">
        <v>-577</v>
      </c>
      <c r="J291" s="1">
        <v>-390.9</v>
      </c>
      <c r="K291" s="1">
        <v>136.5</v>
      </c>
      <c r="L291" s="1">
        <f>1.38*8</f>
        <v>11.04</v>
      </c>
      <c r="M291" s="1">
        <f>61.5*3</f>
        <v>184.5</v>
      </c>
      <c r="N291" s="1">
        <f>I291/1000</f>
        <v>-0.57699999999999996</v>
      </c>
      <c r="O291" s="1">
        <f t="shared" si="24"/>
        <v>-1.4424999999999999</v>
      </c>
      <c r="P291" s="1">
        <f>I291*N291</f>
        <v>332.92899999999997</v>
      </c>
      <c r="Q291" s="1">
        <f>(P291*10^-6)/D_Calculation_electrode_area!$H$22</f>
        <v>1.8496051837379027E-8</v>
      </c>
      <c r="R291" s="1">
        <f t="shared" si="29"/>
        <v>8.3232249999999988E-4</v>
      </c>
      <c r="S291" s="43">
        <f>10^-G291</f>
        <v>2.6001595631652662E-8</v>
      </c>
      <c r="T291" s="43">
        <f>(M291*10^-3/$Z$4)</f>
        <v>1.920622594016818E-3</v>
      </c>
      <c r="U291" s="1">
        <f>(L291*10^-3/$Z$3)</f>
        <v>3.2393529744537109E-4</v>
      </c>
      <c r="V291" s="163">
        <f t="shared" si="37"/>
        <v>2.2445578914621891E-3</v>
      </c>
      <c r="W291" s="170">
        <f>V291*$Z$5*10^3</f>
        <v>71.971748789735088</v>
      </c>
    </row>
    <row r="292" spans="1:23">
      <c r="A292" s="5" t="s">
        <v>35</v>
      </c>
      <c r="B292" s="57" t="s">
        <v>60</v>
      </c>
      <c r="C292" s="45">
        <v>51</v>
      </c>
      <c r="D292" s="1">
        <v>7.61</v>
      </c>
      <c r="E292" s="1">
        <v>23.8</v>
      </c>
      <c r="F292" s="1">
        <v>20.6</v>
      </c>
      <c r="G292" s="1">
        <v>7.6070000000000002</v>
      </c>
      <c r="H292" s="1">
        <v>7.8940000000000001</v>
      </c>
      <c r="I292" s="1">
        <v>-803</v>
      </c>
      <c r="J292" s="1">
        <v>-424</v>
      </c>
      <c r="K292" s="1">
        <v>386.5</v>
      </c>
      <c r="L292" s="1">
        <f>0.527*8</f>
        <v>4.2160000000000002</v>
      </c>
      <c r="M292" s="1">
        <f>86.4*3</f>
        <v>259.20000000000005</v>
      </c>
      <c r="N292" s="1">
        <f>I292/1000</f>
        <v>-0.80300000000000005</v>
      </c>
      <c r="O292" s="1">
        <f t="shared" ref="O292:O301" si="38">N292/0.4</f>
        <v>-2.0074999999999998</v>
      </c>
      <c r="P292" s="1">
        <f>I292*N292</f>
        <v>644.80900000000008</v>
      </c>
      <c r="Q292" s="1">
        <f>(P292*10^-6)/D_Calculation_electrode_area!$H$22</f>
        <v>3.5822715020946014E-8</v>
      </c>
      <c r="R292" s="1">
        <f t="shared" si="29"/>
        <v>1.6120225000000002E-3</v>
      </c>
      <c r="S292" s="43">
        <f>10^-G292</f>
        <v>2.4717241450161221E-8</v>
      </c>
      <c r="T292" s="43">
        <f>(M292*10^-3/$Z$4)</f>
        <v>2.6982405223260667E-3</v>
      </c>
      <c r="U292" s="1">
        <f>(L292*10^-3/$Z$3)</f>
        <v>1.2370572590848593E-4</v>
      </c>
      <c r="V292" s="163">
        <f t="shared" si="37"/>
        <v>2.8219462482345528E-3</v>
      </c>
      <c r="W292" s="170">
        <f>V292*$Z$5*10^3</f>
        <v>90.485706449640929</v>
      </c>
    </row>
    <row r="293" spans="1:23">
      <c r="A293" s="5" t="s">
        <v>36</v>
      </c>
      <c r="B293" s="57" t="s">
        <v>60</v>
      </c>
      <c r="C293" s="45">
        <v>51</v>
      </c>
      <c r="D293" s="1">
        <v>6.82</v>
      </c>
      <c r="E293" s="1">
        <v>23.2</v>
      </c>
      <c r="F293" s="1">
        <v>20.6</v>
      </c>
      <c r="G293" s="1">
        <v>6.6710000000000003</v>
      </c>
      <c r="H293" s="1">
        <v>8.7379999999999995</v>
      </c>
      <c r="I293" s="1">
        <v>-445</v>
      </c>
      <c r="J293" s="1">
        <v>-239</v>
      </c>
      <c r="K293" s="1">
        <v>206.6</v>
      </c>
      <c r="L293" s="1">
        <f>0.841*8</f>
        <v>6.7279999999999998</v>
      </c>
      <c r="M293" s="1">
        <f>142*3</f>
        <v>426</v>
      </c>
      <c r="N293" s="1">
        <f>I293/4700</f>
        <v>-9.4680851063829785E-2</v>
      </c>
      <c r="O293" s="1">
        <f t="shared" si="38"/>
        <v>-0.23670212765957446</v>
      </c>
      <c r="P293" s="1">
        <f>I293*N293</f>
        <v>42.132978723404257</v>
      </c>
      <c r="Q293" s="1">
        <f>(P293*10^-6)/D_Calculation_electrode_area!$H$21</f>
        <v>1.1643905924942952E-2</v>
      </c>
      <c r="R293" s="1">
        <f t="shared" si="29"/>
        <v>1.0533244680851064E-4</v>
      </c>
      <c r="S293" s="43">
        <f>10^-G293</f>
        <v>2.1330449131465707E-7</v>
      </c>
      <c r="T293" s="43">
        <f>(M293*10^-3/$Z$4)</f>
        <v>4.4346082658599699E-3</v>
      </c>
      <c r="U293" s="1">
        <f>(L293*10^-3/$Z$3)</f>
        <v>1.9741274286344716E-4</v>
      </c>
      <c r="V293" s="163">
        <f t="shared" si="37"/>
        <v>4.632021008723417E-3</v>
      </c>
      <c r="W293" s="170">
        <f>V293*$Z$5*10^3</f>
        <v>148.52575364471636</v>
      </c>
    </row>
    <row r="294" spans="1:23">
      <c r="A294" s="5" t="s">
        <v>37</v>
      </c>
      <c r="B294" s="57" t="s">
        <v>60</v>
      </c>
      <c r="C294" s="45">
        <v>51</v>
      </c>
      <c r="D294" s="1">
        <v>6.71</v>
      </c>
      <c r="E294" s="1">
        <v>24.6</v>
      </c>
      <c r="F294" s="1">
        <v>20.6</v>
      </c>
      <c r="G294" s="1">
        <v>6.6689999999999996</v>
      </c>
      <c r="H294" s="1">
        <v>8.8559999999999999</v>
      </c>
      <c r="I294" s="1">
        <v>-68.400000000000006</v>
      </c>
      <c r="J294" s="1">
        <v>126</v>
      </c>
      <c r="K294" s="1">
        <v>207</v>
      </c>
      <c r="L294" s="1">
        <f>0.765*8</f>
        <v>6.12</v>
      </c>
      <c r="M294" s="1">
        <f>142*3</f>
        <v>426</v>
      </c>
      <c r="N294" s="1">
        <f>I294/1000</f>
        <v>-6.8400000000000002E-2</v>
      </c>
      <c r="O294" s="1">
        <f t="shared" si="38"/>
        <v>-0.17099999999999999</v>
      </c>
      <c r="P294" s="1">
        <f>I294*N294</f>
        <v>4.6785600000000009</v>
      </c>
      <c r="Q294" s="1">
        <f>(P294*10^-6)/D_Calculation_electrode_area!$H$21</f>
        <v>1.2929708308029046E-3</v>
      </c>
      <c r="R294" s="1">
        <f t="shared" si="29"/>
        <v>1.1696400000000002E-5</v>
      </c>
      <c r="S294" s="43">
        <f>10^-G294</f>
        <v>2.142890601120056E-7</v>
      </c>
      <c r="T294" s="43">
        <f>(M294*10^-3/$Z$4)</f>
        <v>4.4346082658599699E-3</v>
      </c>
      <c r="U294" s="1">
        <f>(L294*10^-3/$Z$3)</f>
        <v>1.7957282793167314E-4</v>
      </c>
      <c r="V294" s="163">
        <f t="shared" si="37"/>
        <v>4.614181093791643E-3</v>
      </c>
      <c r="W294" s="170">
        <f>V294*$Z$5*10^3</f>
        <v>147.95371677242903</v>
      </c>
    </row>
    <row r="295" spans="1:23">
      <c r="A295" s="5" t="s">
        <v>38</v>
      </c>
      <c r="B295" s="57" t="s">
        <v>60</v>
      </c>
      <c r="C295" s="45">
        <v>51</v>
      </c>
      <c r="D295" s="1">
        <v>6.98</v>
      </c>
      <c r="E295" s="1">
        <v>23.8</v>
      </c>
      <c r="F295" s="1">
        <v>20.7</v>
      </c>
      <c r="G295" s="1">
        <v>6.8659999999999997</v>
      </c>
      <c r="H295" s="1">
        <v>8.7609999999999992</v>
      </c>
      <c r="I295" s="1">
        <v>-132.30000000000001</v>
      </c>
      <c r="J295" s="1">
        <v>145.4</v>
      </c>
      <c r="K295" s="1">
        <v>277</v>
      </c>
      <c r="L295" s="1">
        <f>1.75*8</f>
        <v>14</v>
      </c>
      <c r="M295" s="1">
        <f>107*3</f>
        <v>321</v>
      </c>
      <c r="N295" s="1">
        <f>I295/1000</f>
        <v>-0.1323</v>
      </c>
      <c r="O295" s="1">
        <f t="shared" si="38"/>
        <v>-0.33074999999999999</v>
      </c>
      <c r="P295" s="1">
        <f>I295*N295</f>
        <v>17.503290000000003</v>
      </c>
      <c r="Q295" s="1">
        <f>(P295*10^-6)/D_Calculation_electrode_area!$H$21</f>
        <v>4.8372241486876666E-3</v>
      </c>
      <c r="R295" s="1">
        <f t="shared" si="29"/>
        <v>4.3758224999999999E-5</v>
      </c>
      <c r="S295" s="43">
        <f>10^-G295</f>
        <v>1.3614446824659488E-7</v>
      </c>
      <c r="T295" s="43">
        <f>(M295*10^-3/$Z$4)</f>
        <v>3.3415710172325129E-3</v>
      </c>
      <c r="U295" s="1">
        <f>(L295*10^-3/$Z$3)</f>
        <v>4.1078751487637642E-4</v>
      </c>
      <c r="V295" s="163">
        <f t="shared" si="37"/>
        <v>3.7523585321088894E-3</v>
      </c>
      <c r="W295" s="170">
        <f>V295*$Z$5*10^3</f>
        <v>120.31937633207153</v>
      </c>
    </row>
    <row r="296" spans="1:23">
      <c r="A296" s="5" t="s">
        <v>39</v>
      </c>
      <c r="B296" s="57" t="s">
        <v>60</v>
      </c>
      <c r="C296" s="45">
        <v>51</v>
      </c>
      <c r="D296" s="1">
        <v>6.95</v>
      </c>
      <c r="E296" s="1">
        <v>25.2</v>
      </c>
      <c r="F296" s="1">
        <v>20.7</v>
      </c>
      <c r="G296" s="1">
        <v>7.3780000000000001</v>
      </c>
      <c r="H296" s="1">
        <v>7.9409999999999998</v>
      </c>
      <c r="I296" s="1"/>
      <c r="J296" s="1"/>
      <c r="K296" s="1"/>
      <c r="L296" s="1">
        <f>1.69*25</f>
        <v>42.25</v>
      </c>
      <c r="M296" s="1">
        <f>115*3</f>
        <v>345</v>
      </c>
      <c r="N296" s="1"/>
      <c r="O296" s="1"/>
      <c r="P296" s="1"/>
      <c r="Q296" s="1"/>
      <c r="R296" s="172"/>
      <c r="S296" s="43">
        <f>10^-G296</f>
        <v>4.1879356511791721E-8</v>
      </c>
      <c r="T296" s="43">
        <f>(M296*10^-3/$Z$4)</f>
        <v>3.5914081026330747E-3</v>
      </c>
      <c r="U296" s="1">
        <f>(L296*10^-3/$Z$3)</f>
        <v>1.2396980359662075E-3</v>
      </c>
      <c r="V296" s="163">
        <f t="shared" si="37"/>
        <v>4.8311061385992822E-3</v>
      </c>
      <c r="W296" s="170">
        <f>V296*$Z$5*10^3</f>
        <v>154.90941833418597</v>
      </c>
    </row>
    <row r="297" spans="1:23">
      <c r="A297" s="5" t="s">
        <v>40</v>
      </c>
      <c r="B297" s="57" t="s">
        <v>60</v>
      </c>
      <c r="C297" s="45">
        <v>51</v>
      </c>
      <c r="D297" s="1">
        <v>7.37</v>
      </c>
      <c r="E297" s="1">
        <v>23.8</v>
      </c>
      <c r="F297" s="1">
        <v>20.6</v>
      </c>
      <c r="G297" s="1">
        <v>7.4509999999999996</v>
      </c>
      <c r="H297" s="1">
        <v>8.0340000000000007</v>
      </c>
      <c r="I297" s="1"/>
      <c r="J297" s="1"/>
      <c r="K297" s="1"/>
      <c r="L297" s="1">
        <f>1.4*30</f>
        <v>42</v>
      </c>
      <c r="M297" s="1">
        <f>97.8*3</f>
        <v>293.39999999999998</v>
      </c>
      <c r="N297" s="1"/>
      <c r="O297" s="1"/>
      <c r="P297" s="1"/>
      <c r="Q297" s="1"/>
      <c r="R297" s="1"/>
      <c r="S297" s="43">
        <f>10^-G297</f>
        <v>3.5399734108343449E-8</v>
      </c>
      <c r="T297" s="43">
        <f>(M297*10^-3/$Z$4)</f>
        <v>3.0542583690218667E-3</v>
      </c>
      <c r="U297" s="1">
        <f>(L297*10^-3/$Z$3)</f>
        <v>1.2323625446291294E-3</v>
      </c>
      <c r="V297" s="163">
        <f t="shared" si="37"/>
        <v>4.2866209136509965E-3</v>
      </c>
      <c r="W297" s="170">
        <f>V297*$Z$5*10^3</f>
        <v>137.4504995962192</v>
      </c>
    </row>
    <row r="298" spans="1:23">
      <c r="A298" s="5" t="s">
        <v>41</v>
      </c>
      <c r="B298" s="57" t="s">
        <v>60</v>
      </c>
      <c r="C298" s="45">
        <v>51</v>
      </c>
      <c r="D298" s="1">
        <v>7.17</v>
      </c>
      <c r="E298" s="1">
        <v>23.9</v>
      </c>
      <c r="F298" s="1">
        <v>20.8</v>
      </c>
      <c r="G298" s="1">
        <v>7.3689999999999998</v>
      </c>
      <c r="H298" s="1">
        <v>7.8789999999999996</v>
      </c>
      <c r="I298" s="1"/>
      <c r="J298" s="1"/>
      <c r="K298" s="1"/>
      <c r="L298" s="1">
        <f>1.8*25</f>
        <v>45</v>
      </c>
      <c r="M298" s="1">
        <f>107*3</f>
        <v>321</v>
      </c>
      <c r="N298" s="1"/>
      <c r="O298" s="1"/>
      <c r="P298" s="1"/>
      <c r="Q298" s="1"/>
      <c r="R298" s="1"/>
      <c r="S298" s="43">
        <f>10^-G298</f>
        <v>4.2756288615158626E-8</v>
      </c>
      <c r="T298" s="43">
        <f>(M298*10^-3/$Z$4)</f>
        <v>3.3415710172325129E-3</v>
      </c>
      <c r="U298" s="1">
        <f>(L298*10^-3/$Z$3)</f>
        <v>1.3203884406740669E-3</v>
      </c>
      <c r="V298" s="163">
        <f t="shared" si="37"/>
        <v>4.6619594579065801E-3</v>
      </c>
      <c r="W298" s="170">
        <f>V298*$Z$5*10^3</f>
        <v>149.4857300177745</v>
      </c>
    </row>
    <row r="299" spans="1:23">
      <c r="A299" s="5" t="s">
        <v>42</v>
      </c>
      <c r="B299" s="57" t="s">
        <v>60</v>
      </c>
      <c r="C299" s="45">
        <v>51</v>
      </c>
      <c r="D299" s="1">
        <v>7.75</v>
      </c>
      <c r="E299" s="1">
        <v>23</v>
      </c>
      <c r="F299" s="1">
        <v>20.9</v>
      </c>
      <c r="G299" s="1">
        <v>7.2510000000000003</v>
      </c>
      <c r="H299" s="1">
        <v>8.1039999999999992</v>
      </c>
      <c r="I299" s="1">
        <v>-547.5</v>
      </c>
      <c r="J299" s="1">
        <v>-439</v>
      </c>
      <c r="K299" s="1">
        <v>100.5</v>
      </c>
      <c r="L299" s="1">
        <f>0.789*25</f>
        <v>19.725000000000001</v>
      </c>
      <c r="M299" s="1">
        <f>136*3</f>
        <v>408</v>
      </c>
      <c r="N299" s="1">
        <f>I299/1000</f>
        <v>-0.54749999999999999</v>
      </c>
      <c r="O299" s="1">
        <f t="shared" si="38"/>
        <v>-1.3687499999999999</v>
      </c>
      <c r="P299" s="1">
        <f>I299*N299</f>
        <v>299.75624999999997</v>
      </c>
      <c r="Q299" s="1">
        <f>(P299*10^-6)/D_Calculation_electrode_area!$H$21</f>
        <v>8.2840892839006669E-2</v>
      </c>
      <c r="R299" s="1">
        <f t="shared" si="33"/>
        <v>7.4939062499999984E-4</v>
      </c>
      <c r="S299" s="43">
        <f>10^-G299</f>
        <v>5.6104797603246902E-8</v>
      </c>
      <c r="T299" s="43">
        <f>(M299*10^-3/$Z$4)</f>
        <v>4.2472304518095493E-3</v>
      </c>
      <c r="U299" s="1">
        <f>(L299*10^-3/$Z$3)</f>
        <v>5.7877026649546615E-4</v>
      </c>
      <c r="V299" s="163">
        <f>T299+U299</f>
        <v>4.8260007183050157E-3</v>
      </c>
      <c r="W299" s="170">
        <f>V299*$Z$5*10^3</f>
        <v>154.74571303245034</v>
      </c>
    </row>
    <row r="300" spans="1:23">
      <c r="A300" s="5" t="s">
        <v>43</v>
      </c>
      <c r="B300" s="57" t="s">
        <v>60</v>
      </c>
      <c r="C300" s="45">
        <v>51</v>
      </c>
      <c r="D300" s="1">
        <v>7.45</v>
      </c>
      <c r="E300" s="1">
        <v>22.6</v>
      </c>
      <c r="F300" s="1">
        <v>20.7</v>
      </c>
      <c r="G300" s="1">
        <v>7.2489999999999997</v>
      </c>
      <c r="H300" s="1">
        <v>8.1110000000000007</v>
      </c>
      <c r="I300" s="1">
        <v>-366</v>
      </c>
      <c r="J300" s="1">
        <v>-438</v>
      </c>
      <c r="K300" s="1">
        <v>-61</v>
      </c>
      <c r="L300" s="1">
        <f>0.759*25</f>
        <v>18.975000000000001</v>
      </c>
      <c r="M300" s="1">
        <f>138*3</f>
        <v>414</v>
      </c>
      <c r="N300" s="1">
        <f>I300/1000</f>
        <v>-0.36599999999999999</v>
      </c>
      <c r="O300" s="1">
        <f t="shared" si="38"/>
        <v>-0.91499999999999992</v>
      </c>
      <c r="P300" s="1">
        <f>I300*N300</f>
        <v>133.95599999999999</v>
      </c>
      <c r="Q300" s="1">
        <f>(P300*10^-6)/D_Calculation_electrode_area!$H$21</f>
        <v>3.7020194378405716E-2</v>
      </c>
      <c r="R300" s="1">
        <f t="shared" si="33"/>
        <v>3.3488999999999996E-4</v>
      </c>
      <c r="S300" s="43">
        <f>10^-G300</f>
        <v>5.6363765582595384E-8</v>
      </c>
      <c r="T300" s="43">
        <f>(M300*10^-3/$Z$4)</f>
        <v>4.3096897231596895E-3</v>
      </c>
      <c r="U300" s="1">
        <f>(L300*10^-3/$Z$3)</f>
        <v>5.5676379248423172E-4</v>
      </c>
      <c r="V300" s="163">
        <f t="shared" si="37"/>
        <v>4.8664535156439214E-3</v>
      </c>
      <c r="W300" s="170">
        <f>V300*$Z$5*10^3</f>
        <v>156.04283197912233</v>
      </c>
    </row>
    <row r="301" spans="1:23">
      <c r="A301" s="6" t="s">
        <v>44</v>
      </c>
      <c r="B301" s="60" t="s">
        <v>60</v>
      </c>
      <c r="C301" s="46">
        <v>51</v>
      </c>
      <c r="D301" s="3">
        <v>7.53</v>
      </c>
      <c r="E301" s="3">
        <v>22.4</v>
      </c>
      <c r="F301" s="3">
        <v>21</v>
      </c>
      <c r="G301" s="3">
        <v>7.3419999999999996</v>
      </c>
      <c r="H301" s="3">
        <v>8.1460000000000008</v>
      </c>
      <c r="I301" s="3">
        <v>-683</v>
      </c>
      <c r="J301" s="3">
        <v>-402.8</v>
      </c>
      <c r="K301" s="3">
        <v>281</v>
      </c>
      <c r="L301" s="3">
        <f>0.778*25</f>
        <v>19.45</v>
      </c>
      <c r="M301" s="3">
        <f>140*3</f>
        <v>420</v>
      </c>
      <c r="N301" s="3">
        <f>I301/1000</f>
        <v>-0.68300000000000005</v>
      </c>
      <c r="O301" s="3">
        <f t="shared" si="38"/>
        <v>-1.7075</v>
      </c>
      <c r="P301" s="3">
        <f>I301*N301</f>
        <v>466.48900000000003</v>
      </c>
      <c r="Q301" s="3">
        <f>(P301*10^-6)/D_Calculation_electrode_area!$H$21</f>
        <v>0.12891929779470948</v>
      </c>
      <c r="R301" s="3">
        <f t="shared" si="33"/>
        <v>1.1662224999999999E-3</v>
      </c>
      <c r="S301" s="77">
        <f>10^-G301</f>
        <v>4.5498806015004752E-8</v>
      </c>
      <c r="T301" s="77">
        <f>(M301*10^-3/$Z$4)</f>
        <v>4.3721489945098297E-3</v>
      </c>
      <c r="U301" s="3">
        <f>(L301*10^-3/$Z$3)</f>
        <v>5.7070122602468005E-4</v>
      </c>
      <c r="V301" s="164">
        <f t="shared" si="37"/>
        <v>4.9428502205345094E-3</v>
      </c>
      <c r="W301" s="171">
        <f>V301*$Z$5*10^3</f>
        <v>158.49249232143902</v>
      </c>
    </row>
    <row r="302" spans="1:23">
      <c r="W302"/>
    </row>
    <row r="303" spans="1:23">
      <c r="W303"/>
    </row>
    <row r="304" spans="1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134B-2FB5-4448-B0A1-B301BBB457E5}">
  <dimension ref="A1:X203"/>
  <sheetViews>
    <sheetView topLeftCell="H1" workbookViewId="0">
      <selection activeCell="M2" sqref="M2"/>
    </sheetView>
  </sheetViews>
  <sheetFormatPr defaultColWidth="8.85546875" defaultRowHeight="15"/>
  <cols>
    <col min="2" max="2" width="10.85546875" bestFit="1" customWidth="1"/>
    <col min="3" max="3" width="8.28515625" bestFit="1" customWidth="1"/>
    <col min="4" max="4" width="13.85546875" bestFit="1" customWidth="1"/>
    <col min="5" max="5" width="15.42578125" bestFit="1" customWidth="1"/>
    <col min="6" max="6" width="16.5703125" bestFit="1" customWidth="1"/>
    <col min="7" max="7" width="10.140625" bestFit="1" customWidth="1"/>
    <col min="8" max="8" width="11.28515625" bestFit="1" customWidth="1"/>
    <col min="10" max="10" width="10.85546875" bestFit="1" customWidth="1"/>
    <col min="11" max="11" width="13.85546875" bestFit="1" customWidth="1"/>
    <col min="12" max="12" width="9.42578125" customWidth="1"/>
    <col min="13" max="13" width="13.42578125" bestFit="1" customWidth="1"/>
    <col min="14" max="15" width="19" bestFit="1" customWidth="1"/>
    <col min="16" max="20" width="15.5703125" customWidth="1"/>
    <col min="21" max="21" width="14.42578125" customWidth="1"/>
    <col min="23" max="23" width="10.7109375" bestFit="1" customWidth="1"/>
  </cols>
  <sheetData>
    <row r="1" spans="1:24">
      <c r="A1" s="20" t="s">
        <v>61</v>
      </c>
      <c r="B1" s="22" t="s">
        <v>1</v>
      </c>
      <c r="C1" s="88" t="s">
        <v>2</v>
      </c>
      <c r="D1" s="21" t="s">
        <v>8</v>
      </c>
      <c r="E1" s="21" t="s">
        <v>9</v>
      </c>
      <c r="F1" s="21" t="s">
        <v>10</v>
      </c>
      <c r="G1" s="21" t="s">
        <v>62</v>
      </c>
      <c r="H1" s="21" t="s">
        <v>63</v>
      </c>
      <c r="I1" s="21" t="s">
        <v>64</v>
      </c>
      <c r="J1" s="21" t="s">
        <v>11</v>
      </c>
      <c r="K1" s="21" t="s">
        <v>65</v>
      </c>
      <c r="L1" s="21" t="s">
        <v>5</v>
      </c>
      <c r="M1" s="21" t="s">
        <v>13</v>
      </c>
      <c r="N1" s="21" t="s">
        <v>15</v>
      </c>
      <c r="O1" s="21" t="s">
        <v>16</v>
      </c>
      <c r="P1" s="21" t="s">
        <v>66</v>
      </c>
      <c r="Q1" s="21" t="s">
        <v>67</v>
      </c>
      <c r="R1" s="21" t="s">
        <v>19</v>
      </c>
      <c r="S1" s="21" t="s">
        <v>20</v>
      </c>
      <c r="T1" s="23" t="s">
        <v>21</v>
      </c>
      <c r="V1" s="176"/>
      <c r="W1" s="177" t="s">
        <v>25</v>
      </c>
      <c r="X1" s="178" t="s">
        <v>26</v>
      </c>
    </row>
    <row r="2" spans="1:24">
      <c r="A2" s="17" t="s">
        <v>68</v>
      </c>
      <c r="B2" s="81" t="s">
        <v>24</v>
      </c>
      <c r="C2" s="70">
        <v>0</v>
      </c>
      <c r="D2" s="4">
        <v>-25.71</v>
      </c>
      <c r="E2" s="4">
        <v>217</v>
      </c>
      <c r="F2" s="4">
        <v>191.3</v>
      </c>
      <c r="G2" s="4">
        <v>4.2699999999999996</v>
      </c>
      <c r="H2" s="4">
        <v>18.63</v>
      </c>
      <c r="I2" s="4">
        <v>7.46</v>
      </c>
      <c r="J2" s="4">
        <v>0</v>
      </c>
      <c r="K2" s="4">
        <f>68.8*10</f>
        <v>688</v>
      </c>
      <c r="L2" s="4">
        <v>19.600000000000001</v>
      </c>
      <c r="M2" s="4">
        <f>D2/1000</f>
        <v>-2.571E-2</v>
      </c>
      <c r="N2" s="4">
        <f>M2*D2</f>
        <v>0.66100409999999998</v>
      </c>
      <c r="O2" s="4">
        <f>(N2*10^-6)/D_Calculation_electrode_area!$B$19</f>
        <v>5.1973177760728689E-5</v>
      </c>
      <c r="P2" s="4">
        <f>10^-I2*4</f>
        <v>1.3869474018101268E-7</v>
      </c>
      <c r="Q2" s="4">
        <f>(G2*10^-6)/31.9988</f>
        <v>1.3344250409390352E-7</v>
      </c>
      <c r="R2" s="4">
        <f>(K2*10^-3/$W$3)*0.33</f>
        <v>2.3634588278893141E-3</v>
      </c>
      <c r="S2" s="4">
        <f>(J2*10^-3/$W$2)*0.941</f>
        <v>0</v>
      </c>
      <c r="T2" s="19">
        <f>R2+S2</f>
        <v>2.3634588278893141E-3</v>
      </c>
      <c r="V2" s="114" t="s">
        <v>28</v>
      </c>
      <c r="W2">
        <v>34.080880000000001</v>
      </c>
      <c r="X2" s="24" t="s">
        <v>29</v>
      </c>
    </row>
    <row r="3" spans="1:24">
      <c r="A3" s="8" t="s">
        <v>69</v>
      </c>
      <c r="B3" s="82" t="s">
        <v>24</v>
      </c>
      <c r="C3" s="44">
        <v>0</v>
      </c>
      <c r="D3" s="1">
        <v>-15.28</v>
      </c>
      <c r="E3" s="1">
        <v>191.7</v>
      </c>
      <c r="F3" s="1">
        <v>175.9</v>
      </c>
      <c r="G3" s="1">
        <v>3.91</v>
      </c>
      <c r="H3" s="1">
        <v>18.45</v>
      </c>
      <c r="I3" s="1">
        <v>7.55</v>
      </c>
      <c r="J3" s="1">
        <v>0</v>
      </c>
      <c r="K3" s="1">
        <f>64.7*10</f>
        <v>647</v>
      </c>
      <c r="L3" s="1">
        <v>19.5</v>
      </c>
      <c r="M3" s="1">
        <f t="shared" ref="M3:M66" si="0">D3/1000</f>
        <v>-1.528E-2</v>
      </c>
      <c r="N3" s="1">
        <f>M3*D3</f>
        <v>0.2334784</v>
      </c>
      <c r="O3" s="1">
        <f>(N3*10^-6)/D_Calculation_electrode_area!$B$19</f>
        <v>1.8357850407418832E-5</v>
      </c>
      <c r="P3" s="1">
        <f>10^-I3*4</f>
        <v>1.1273531725057787E-7</v>
      </c>
      <c r="Q3" s="4">
        <f t="shared" ref="Q3:Q66" si="1">(G3*10^-6)/31.9988</f>
        <v>1.221920822030826E-7</v>
      </c>
      <c r="R3" s="1">
        <f>(K3*10^-3/$W$3)*0.33</f>
        <v>2.2226131709947475E-3</v>
      </c>
      <c r="S3" s="1">
        <f>(J3*10^-3/$W$2)*0.941</f>
        <v>0</v>
      </c>
      <c r="T3" s="14">
        <f>R3+S3</f>
        <v>2.2226131709947475E-3</v>
      </c>
      <c r="V3" s="112" t="s">
        <v>31</v>
      </c>
      <c r="W3" s="25">
        <v>96.062600000000003</v>
      </c>
      <c r="X3" s="26" t="s">
        <v>29</v>
      </c>
    </row>
    <row r="4" spans="1:24">
      <c r="A4" s="8" t="s">
        <v>70</v>
      </c>
      <c r="B4" s="82" t="s">
        <v>24</v>
      </c>
      <c r="C4" s="44">
        <v>0</v>
      </c>
      <c r="D4" s="1">
        <v>-30.79</v>
      </c>
      <c r="E4" s="1">
        <v>220.6</v>
      </c>
      <c r="F4" s="1">
        <v>190.1</v>
      </c>
      <c r="G4" s="1">
        <v>5.01</v>
      </c>
      <c r="H4" s="1">
        <v>18.399999999999999</v>
      </c>
      <c r="I4" s="1">
        <v>7.56</v>
      </c>
      <c r="J4" s="1">
        <v>0</v>
      </c>
      <c r="K4" s="1">
        <f>77.6*10</f>
        <v>776</v>
      </c>
      <c r="L4" s="1">
        <v>19.600000000000001</v>
      </c>
      <c r="M4" s="1">
        <f t="shared" si="0"/>
        <v>-3.0789999999999998E-2</v>
      </c>
      <c r="N4" s="1">
        <f t="shared" ref="N4:N66" si="2">M4*D4</f>
        <v>0.94802409999999993</v>
      </c>
      <c r="O4" s="1">
        <f>(N4*10^-6)/D_Calculation_electrode_area!$B$19</f>
        <v>7.4540876631105368E-5</v>
      </c>
      <c r="P4" s="4">
        <f t="shared" ref="P4:P13" si="3">10^-I4*4</f>
        <v>1.101691481335264E-7</v>
      </c>
      <c r="Q4" s="4">
        <f t="shared" si="1"/>
        <v>1.5656837131392425E-7</v>
      </c>
      <c r="R4" s="1">
        <f>(K4*10^-3/$W$3)*0.33</f>
        <v>2.6657617012239938E-3</v>
      </c>
      <c r="S4" s="1">
        <f>(J4*10^-3/$W$2)*0.941</f>
        <v>0</v>
      </c>
      <c r="T4" s="14">
        <f>R4+S4</f>
        <v>2.6657617012239938E-3</v>
      </c>
    </row>
    <row r="5" spans="1:24">
      <c r="A5" s="8" t="s">
        <v>71</v>
      </c>
      <c r="B5" s="82" t="s">
        <v>24</v>
      </c>
      <c r="C5" s="44">
        <v>0</v>
      </c>
      <c r="D5" s="1">
        <v>57.25</v>
      </c>
      <c r="E5" s="1">
        <v>335.8</v>
      </c>
      <c r="F5" s="1">
        <v>279.2</v>
      </c>
      <c r="G5" s="1">
        <v>4.55</v>
      </c>
      <c r="H5" s="1">
        <v>18.71</v>
      </c>
      <c r="I5" s="1">
        <v>7.66</v>
      </c>
      <c r="J5" s="1">
        <v>0</v>
      </c>
      <c r="K5" s="1">
        <f>66.5*10</f>
        <v>665</v>
      </c>
      <c r="L5" s="1">
        <v>19.7</v>
      </c>
      <c r="M5" s="1">
        <f t="shared" si="0"/>
        <v>5.7250000000000002E-2</v>
      </c>
      <c r="N5" s="1">
        <f t="shared" si="2"/>
        <v>3.2775625000000002</v>
      </c>
      <c r="O5" s="1">
        <f>(N5*10^-6)/D_Calculation_electrode_area!$B$19</f>
        <v>2.5770693167318984E-4</v>
      </c>
      <c r="P5" s="1">
        <f t="shared" si="3"/>
        <v>8.7510464957981978E-8</v>
      </c>
      <c r="Q5" s="4">
        <f t="shared" si="1"/>
        <v>1.4219283223120866E-7</v>
      </c>
      <c r="R5" s="1">
        <f>(K5*10^-3/$W$3)*0.33</f>
        <v>2.2844478496313863E-3</v>
      </c>
      <c r="S5" s="1">
        <f>(J5*10^-3/$W$2)*0.941</f>
        <v>0</v>
      </c>
      <c r="T5" s="14">
        <f>R5+S5</f>
        <v>2.2844478496313863E-3</v>
      </c>
    </row>
    <row r="6" spans="1:24">
      <c r="A6" s="8" t="s">
        <v>72</v>
      </c>
      <c r="B6" s="82" t="s">
        <v>24</v>
      </c>
      <c r="C6" s="44">
        <v>0</v>
      </c>
      <c r="D6" s="1">
        <v>-34.72</v>
      </c>
      <c r="E6" s="1">
        <v>303.60000000000002</v>
      </c>
      <c r="F6" s="1">
        <v>269.5</v>
      </c>
      <c r="G6" s="1">
        <v>5.1100000000000003</v>
      </c>
      <c r="H6" s="1">
        <v>18.239999999999998</v>
      </c>
      <c r="I6" s="1">
        <v>7.68</v>
      </c>
      <c r="J6" s="1">
        <v>0</v>
      </c>
      <c r="K6" s="1">
        <f>63.3*10</f>
        <v>633</v>
      </c>
      <c r="L6" s="1">
        <v>19.7</v>
      </c>
      <c r="M6" s="1">
        <f t="shared" si="0"/>
        <v>-3.4720000000000001E-2</v>
      </c>
      <c r="N6" s="1">
        <f t="shared" si="2"/>
        <v>1.2054784000000001</v>
      </c>
      <c r="O6" s="1">
        <f>(N6*10^-6)/D_Calculation_electrode_area!$B$19</f>
        <v>9.4783894940922168E-5</v>
      </c>
      <c r="P6" s="4">
        <f t="shared" si="3"/>
        <v>8.3571845234161473E-8</v>
      </c>
      <c r="Q6" s="4">
        <f t="shared" si="1"/>
        <v>1.5969348850581898E-7</v>
      </c>
      <c r="R6" s="1">
        <f>(K6*10^-3/$W$3)*0.33</f>
        <v>2.1745195320551393E-3</v>
      </c>
      <c r="S6" s="1">
        <f>(J6*10^-3/$W$2)*0.941</f>
        <v>0</v>
      </c>
      <c r="T6" s="14">
        <f>R6+S6</f>
        <v>2.1745195320551393E-3</v>
      </c>
    </row>
    <row r="7" spans="1:24">
      <c r="A7" s="8" t="s">
        <v>73</v>
      </c>
      <c r="B7" s="82" t="s">
        <v>24</v>
      </c>
      <c r="C7" s="44">
        <v>0</v>
      </c>
      <c r="D7" s="1">
        <v>-49.7</v>
      </c>
      <c r="E7" s="1">
        <v>325.8</v>
      </c>
      <c r="F7" s="1">
        <v>277.60000000000002</v>
      </c>
      <c r="G7" s="1">
        <v>4.37</v>
      </c>
      <c r="H7" s="1">
        <v>18.82</v>
      </c>
      <c r="I7" s="1">
        <v>7.71</v>
      </c>
      <c r="J7" s="1">
        <v>0</v>
      </c>
      <c r="K7" s="1">
        <f>65.4*10</f>
        <v>654</v>
      </c>
      <c r="L7" s="1">
        <v>19.899999999999999</v>
      </c>
      <c r="M7" s="1">
        <f t="shared" si="0"/>
        <v>-4.9700000000000001E-2</v>
      </c>
      <c r="N7" s="1">
        <f t="shared" si="2"/>
        <v>2.4700900000000003</v>
      </c>
      <c r="O7" s="1">
        <f>(N7*10^-6)/D_Calculation_electrode_area!$B$19</f>
        <v>1.9421729253267622E-4</v>
      </c>
      <c r="P7" s="1">
        <f t="shared" si="3"/>
        <v>7.7993783990321736E-8</v>
      </c>
      <c r="Q7" s="4">
        <f t="shared" si="1"/>
        <v>1.3656762128579822E-7</v>
      </c>
      <c r="R7" s="1">
        <f>(K7*10^-3/$W$3)*0.33</f>
        <v>2.2466599904645513E-3</v>
      </c>
      <c r="S7" s="1">
        <f>(J7*10^-3/$W$2)*0.941</f>
        <v>0</v>
      </c>
      <c r="T7" s="14">
        <f>R7+S7</f>
        <v>2.2466599904645513E-3</v>
      </c>
    </row>
    <row r="8" spans="1:24">
      <c r="A8" s="8" t="s">
        <v>74</v>
      </c>
      <c r="B8" s="82" t="s">
        <v>24</v>
      </c>
      <c r="C8" s="44">
        <v>0</v>
      </c>
      <c r="D8" s="1">
        <f>-0.764*1000</f>
        <v>-764</v>
      </c>
      <c r="E8" s="1">
        <v>468.8</v>
      </c>
      <c r="F8" s="1">
        <v>-289.8</v>
      </c>
      <c r="G8" s="1">
        <v>5.45</v>
      </c>
      <c r="H8" s="1">
        <v>18.920000000000002</v>
      </c>
      <c r="I8" s="1">
        <v>7.72</v>
      </c>
      <c r="J8" s="1">
        <v>0</v>
      </c>
      <c r="K8" s="1">
        <f>61.7*10</f>
        <v>617</v>
      </c>
      <c r="L8" s="1">
        <v>19.600000000000001</v>
      </c>
      <c r="M8" s="1">
        <f t="shared" si="0"/>
        <v>-0.76400000000000001</v>
      </c>
      <c r="N8" s="1">
        <f t="shared" si="2"/>
        <v>583.69600000000003</v>
      </c>
      <c r="O8" s="1">
        <f>(N8*10^-6)/D_Calculation_electrode_area!$B$19</f>
        <v>4.5894626018547081E-2</v>
      </c>
      <c r="P8" s="4">
        <f t="shared" si="3"/>
        <v>7.6218428718529822E-8</v>
      </c>
      <c r="Q8" s="4">
        <f t="shared" si="1"/>
        <v>1.7031888695826096E-7</v>
      </c>
      <c r="R8" s="1">
        <f>(K8*10^-3/$W$3)*0.33</f>
        <v>2.1195553732670158E-3</v>
      </c>
      <c r="S8" s="1">
        <f>(J8*10^-3/$W$2)*0.941</f>
        <v>0</v>
      </c>
      <c r="T8" s="14">
        <f>R8+S8</f>
        <v>2.1195553732670158E-3</v>
      </c>
    </row>
    <row r="9" spans="1:24">
      <c r="A9" s="8" t="s">
        <v>75</v>
      </c>
      <c r="B9" s="82" t="s">
        <v>24</v>
      </c>
      <c r="C9" s="44">
        <v>0</v>
      </c>
      <c r="D9" s="1">
        <f>-0.704*1000</f>
        <v>-704</v>
      </c>
      <c r="E9" s="1">
        <v>473.6</v>
      </c>
      <c r="F9" s="1">
        <v>-250.7</v>
      </c>
      <c r="G9" s="1">
        <v>4.84</v>
      </c>
      <c r="H9" s="1">
        <v>18.98</v>
      </c>
      <c r="I9" s="1">
        <v>7.73</v>
      </c>
      <c r="J9" s="1">
        <v>0</v>
      </c>
      <c r="K9" s="1">
        <f>73.2*10</f>
        <v>732</v>
      </c>
      <c r="L9" s="1">
        <v>19.899999999999999</v>
      </c>
      <c r="M9" s="1">
        <f t="shared" si="0"/>
        <v>-0.70399999999999996</v>
      </c>
      <c r="N9" s="1">
        <f t="shared" si="2"/>
        <v>495.61599999999999</v>
      </c>
      <c r="O9" s="1">
        <f>(N9*10^-6)/D_Calculation_electrode_area!$B$19</f>
        <v>3.8969105439832084E-2</v>
      </c>
      <c r="P9" s="1">
        <f t="shared" si="3"/>
        <v>7.4483485466514372E-8</v>
      </c>
      <c r="Q9" s="4">
        <f t="shared" si="1"/>
        <v>1.5125567208770326E-7</v>
      </c>
      <c r="R9" s="1">
        <f>(K9*10^-3/$W$3)*0.33</f>
        <v>2.5146102645566535E-3</v>
      </c>
      <c r="S9" s="1">
        <f>(J9*10^-3/$W$2)*0.941</f>
        <v>0</v>
      </c>
      <c r="T9" s="14">
        <f>R9+S9</f>
        <v>2.5146102645566535E-3</v>
      </c>
    </row>
    <row r="10" spans="1:24">
      <c r="A10" s="8" t="s">
        <v>76</v>
      </c>
      <c r="B10" s="82" t="s">
        <v>24</v>
      </c>
      <c r="C10" s="44">
        <v>0</v>
      </c>
      <c r="D10" s="1">
        <f>0.733*-1000</f>
        <v>-733</v>
      </c>
      <c r="E10" s="1">
        <v>444.6</v>
      </c>
      <c r="F10" s="1">
        <v>-261.8</v>
      </c>
      <c r="G10" s="1">
        <v>4.32</v>
      </c>
      <c r="H10" s="1">
        <v>19.13</v>
      </c>
      <c r="I10" s="1">
        <v>7.74</v>
      </c>
      <c r="J10" s="1">
        <v>0</v>
      </c>
      <c r="K10" s="1">
        <f>76.1*10</f>
        <v>761</v>
      </c>
      <c r="L10" s="1">
        <v>19.8</v>
      </c>
      <c r="M10" s="1">
        <f t="shared" si="0"/>
        <v>-0.73299999999999998</v>
      </c>
      <c r="N10" s="1">
        <f t="shared" si="2"/>
        <v>537.28899999999999</v>
      </c>
      <c r="O10" s="1">
        <f>(N10*10^-6)/D_Calculation_electrode_area!$B$19</f>
        <v>4.2245754157779286E-2</v>
      </c>
      <c r="P10" s="4">
        <f t="shared" si="3"/>
        <v>7.2788034344399289E-8</v>
      </c>
      <c r="Q10" s="4">
        <f t="shared" si="1"/>
        <v>1.3500506268985087E-7</v>
      </c>
      <c r="R10" s="1">
        <f>(K10*10^-3/$W$3)*0.33</f>
        <v>2.6142328023601277E-3</v>
      </c>
      <c r="S10" s="1">
        <f>(J10*10^-3/$W$2)*0.941</f>
        <v>0</v>
      </c>
      <c r="T10" s="14">
        <f>R10+S10</f>
        <v>2.6142328023601277E-3</v>
      </c>
    </row>
    <row r="11" spans="1:24">
      <c r="A11" s="8" t="s">
        <v>77</v>
      </c>
      <c r="B11" s="82" t="s">
        <v>24</v>
      </c>
      <c r="C11" s="44">
        <v>0</v>
      </c>
      <c r="D11" s="1"/>
      <c r="E11" s="1"/>
      <c r="F11" s="1"/>
      <c r="G11" s="1">
        <v>4</v>
      </c>
      <c r="H11" s="1">
        <v>18.7</v>
      </c>
      <c r="I11" s="1">
        <v>7.73</v>
      </c>
      <c r="J11" s="1">
        <v>0</v>
      </c>
      <c r="K11" s="1">
        <f>66.1*10</f>
        <v>661</v>
      </c>
      <c r="L11" s="1">
        <v>20.100000000000001</v>
      </c>
      <c r="M11" s="1"/>
      <c r="N11" s="1"/>
      <c r="O11" s="1"/>
      <c r="P11" s="1">
        <f t="shared" si="3"/>
        <v>7.4483485466514372E-8</v>
      </c>
      <c r="Q11" s="4">
        <f t="shared" si="1"/>
        <v>1.2500468767578785E-7</v>
      </c>
      <c r="R11" s="1">
        <f>(K11*10^-3/$W$3)*0.33</f>
        <v>2.2707068099343556E-3</v>
      </c>
      <c r="S11" s="1">
        <f>(J11*10^-3/$W$2)*0.941</f>
        <v>0</v>
      </c>
      <c r="T11" s="14">
        <f>R11+S11</f>
        <v>2.2707068099343556E-3</v>
      </c>
    </row>
    <row r="12" spans="1:24">
      <c r="A12" s="18" t="s">
        <v>78</v>
      </c>
      <c r="B12" s="83" t="s">
        <v>24</v>
      </c>
      <c r="C12" s="44">
        <v>0</v>
      </c>
      <c r="D12" s="1"/>
      <c r="E12" s="1"/>
      <c r="F12" s="1"/>
      <c r="G12" s="1">
        <v>4.42</v>
      </c>
      <c r="H12" s="1">
        <v>18.899999999999999</v>
      </c>
      <c r="I12" s="1">
        <v>7.75</v>
      </c>
      <c r="J12" s="1">
        <v>0</v>
      </c>
      <c r="K12" s="1">
        <f>61.8*10</f>
        <v>618</v>
      </c>
      <c r="L12" s="1">
        <v>20</v>
      </c>
      <c r="M12" s="1"/>
      <c r="N12" s="1"/>
      <c r="O12" s="1"/>
      <c r="P12" s="4">
        <f t="shared" si="3"/>
        <v>7.1131176401556873E-8</v>
      </c>
      <c r="Q12" s="4">
        <f t="shared" si="1"/>
        <v>1.3813017988174557E-7</v>
      </c>
      <c r="R12" s="1">
        <f>(K12*10^-3/$W$3)*0.33</f>
        <v>2.1229906331912732E-3</v>
      </c>
      <c r="S12" s="1">
        <f>(J12*10^-3/$W$2)*0.941</f>
        <v>0</v>
      </c>
      <c r="T12" s="14">
        <f>R12+S12</f>
        <v>2.1229906331912732E-3</v>
      </c>
    </row>
    <row r="13" spans="1:24">
      <c r="A13" s="18" t="s">
        <v>79</v>
      </c>
      <c r="B13" s="83" t="s">
        <v>24</v>
      </c>
      <c r="C13" s="66">
        <v>0</v>
      </c>
      <c r="D13" s="2"/>
      <c r="E13" s="2"/>
      <c r="F13" s="2"/>
      <c r="G13" s="2">
        <v>4.07</v>
      </c>
      <c r="H13" s="2">
        <v>19.28</v>
      </c>
      <c r="I13" s="2">
        <v>7.76</v>
      </c>
      <c r="J13" s="2">
        <v>0</v>
      </c>
      <c r="K13" s="2">
        <f>72.6*10</f>
        <v>726</v>
      </c>
      <c r="L13" s="2">
        <v>19.600000000000001</v>
      </c>
      <c r="M13" s="2"/>
      <c r="N13" s="2"/>
      <c r="O13" s="2"/>
      <c r="P13" s="1">
        <f t="shared" si="3"/>
        <v>6.9512033149974987E-8</v>
      </c>
      <c r="Q13" s="113">
        <f t="shared" si="1"/>
        <v>1.2719226971011414E-7</v>
      </c>
      <c r="R13" s="2">
        <f>(K13*10^-3/$W$3)*0.33</f>
        <v>2.4939987050111075E-3</v>
      </c>
      <c r="S13" s="2">
        <f>(J13*10^-3/$W$2)*0.941</f>
        <v>0</v>
      </c>
      <c r="T13" s="16">
        <f>R13+S13</f>
        <v>2.4939987050111075E-3</v>
      </c>
    </row>
    <row r="14" spans="1:24">
      <c r="A14" s="37" t="s">
        <v>68</v>
      </c>
      <c r="B14" s="89" t="s">
        <v>45</v>
      </c>
      <c r="C14" s="67">
        <v>2</v>
      </c>
      <c r="D14" s="12">
        <v>-136.9</v>
      </c>
      <c r="E14" s="12">
        <v>-415</v>
      </c>
      <c r="F14" s="12">
        <v>-277.7</v>
      </c>
      <c r="G14" s="12">
        <v>4.78</v>
      </c>
      <c r="H14" s="12">
        <v>18.79</v>
      </c>
      <c r="I14" s="12">
        <v>7.78</v>
      </c>
      <c r="J14" s="12"/>
      <c r="K14" s="12"/>
      <c r="L14" s="12">
        <v>18.8</v>
      </c>
      <c r="M14" s="12">
        <f t="shared" si="0"/>
        <v>-0.13689999999999999</v>
      </c>
      <c r="N14" s="12">
        <f t="shared" si="2"/>
        <v>18.741610000000001</v>
      </c>
      <c r="O14" s="12">
        <f>(N14*10^-6)/D_Calculation_electrode_area!$B$19</f>
        <v>1.473608148651802E-3</v>
      </c>
      <c r="P14" s="12">
        <f>10^-I14*4</f>
        <v>6.6383476297502164E-8</v>
      </c>
      <c r="Q14" s="4">
        <f>(G14*10^-6)/31.9988</f>
        <v>1.4938060177256648E-7</v>
      </c>
      <c r="R14" s="12">
        <f>(K14*10^-3/$W$3)*0.33</f>
        <v>0</v>
      </c>
      <c r="S14" s="12">
        <f>(J14*10^-3/$W$2)*0.941</f>
        <v>0</v>
      </c>
      <c r="T14" s="36">
        <f>R14+S14</f>
        <v>0</v>
      </c>
    </row>
    <row r="15" spans="1:24">
      <c r="A15" s="8" t="s">
        <v>69</v>
      </c>
      <c r="B15" s="82" t="s">
        <v>45</v>
      </c>
      <c r="C15" s="44">
        <v>2</v>
      </c>
      <c r="D15" s="1">
        <v>-106.7</v>
      </c>
      <c r="E15" s="1">
        <v>-21.99</v>
      </c>
      <c r="F15" s="1">
        <v>84.7</v>
      </c>
      <c r="G15" s="1">
        <v>5.84</v>
      </c>
      <c r="H15" s="1">
        <v>18.27</v>
      </c>
      <c r="I15" s="1">
        <v>7.85</v>
      </c>
      <c r="J15" s="1"/>
      <c r="K15" s="1"/>
      <c r="L15" s="1">
        <v>18.8</v>
      </c>
      <c r="M15" s="1">
        <f t="shared" si="0"/>
        <v>-0.1067</v>
      </c>
      <c r="N15" s="1">
        <f t="shared" si="2"/>
        <v>11.38489</v>
      </c>
      <c r="O15" s="1">
        <f>(N15*10^-6)/D_Calculation_electrode_area!$B$19</f>
        <v>8.9516677998872094E-4</v>
      </c>
      <c r="P15" s="1">
        <f>10^-I15*4</f>
        <v>5.6501501784910189E-8</v>
      </c>
      <c r="Q15" s="4">
        <f t="shared" si="1"/>
        <v>1.8250684400665027E-7</v>
      </c>
      <c r="R15" s="1">
        <f>(K15*10^-3/$W$3)*0.33</f>
        <v>0</v>
      </c>
      <c r="S15" s="1">
        <f>(J15*10^-3/$W$2)*0.941</f>
        <v>0</v>
      </c>
      <c r="T15" s="14">
        <f>R15+S15</f>
        <v>0</v>
      </c>
    </row>
    <row r="16" spans="1:24">
      <c r="A16" s="8" t="s">
        <v>70</v>
      </c>
      <c r="B16" s="82" t="s">
        <v>45</v>
      </c>
      <c r="C16" s="44">
        <v>2</v>
      </c>
      <c r="D16" s="1">
        <v>-135.6</v>
      </c>
      <c r="E16" s="1">
        <v>-51.08</v>
      </c>
      <c r="F16" s="1">
        <v>85.2</v>
      </c>
      <c r="G16" s="1">
        <v>6.4</v>
      </c>
      <c r="H16" s="1">
        <v>18.38</v>
      </c>
      <c r="I16" s="1">
        <v>7.72</v>
      </c>
      <c r="J16" s="1"/>
      <c r="K16" s="1"/>
      <c r="L16" s="1">
        <v>18.8</v>
      </c>
      <c r="M16" s="1">
        <f t="shared" si="0"/>
        <v>-0.1356</v>
      </c>
      <c r="N16" s="1">
        <f t="shared" si="2"/>
        <v>18.387359999999997</v>
      </c>
      <c r="O16" s="1">
        <f>(N16*10^-6)/D_Calculation_electrode_area!$B$19</f>
        <v>1.4457543150345243E-3</v>
      </c>
      <c r="P16" s="1">
        <f t="shared" ref="P16:P79" si="4">10^-I16*4</f>
        <v>7.6218428718529822E-8</v>
      </c>
      <c r="Q16" s="4">
        <f t="shared" si="1"/>
        <v>2.0000750028126053E-7</v>
      </c>
      <c r="R16" s="1">
        <f>(K16*10^-3/$W$3)*0.33</f>
        <v>0</v>
      </c>
      <c r="S16" s="1">
        <f>(J16*10^-3/$W$2)*0.941</f>
        <v>0</v>
      </c>
      <c r="T16" s="14">
        <f>R16+S16</f>
        <v>0</v>
      </c>
    </row>
    <row r="17" spans="1:20">
      <c r="A17" s="8" t="s">
        <v>71</v>
      </c>
      <c r="B17" s="82" t="s">
        <v>45</v>
      </c>
      <c r="C17" s="44">
        <v>2</v>
      </c>
      <c r="D17" s="1">
        <v>-87.8</v>
      </c>
      <c r="E17" s="1">
        <v>-408.9</v>
      </c>
      <c r="F17" s="1">
        <v>-321.3</v>
      </c>
      <c r="G17" s="1">
        <v>6.8</v>
      </c>
      <c r="H17" s="1">
        <v>18.55</v>
      </c>
      <c r="I17" s="1">
        <v>7.84</v>
      </c>
      <c r="J17" s="1"/>
      <c r="K17" s="1"/>
      <c r="L17" s="1">
        <v>18.899999999999999</v>
      </c>
      <c r="M17" s="1">
        <f t="shared" si="0"/>
        <v>-8.7800000000000003E-2</v>
      </c>
      <c r="N17" s="1">
        <f t="shared" si="2"/>
        <v>7.7088400000000004</v>
      </c>
      <c r="O17" s="1">
        <f>(N17*10^-6)/D_Calculation_electrode_area!$B$19</f>
        <v>6.0612772545437423E-4</v>
      </c>
      <c r="P17" s="1">
        <f t="shared" si="4"/>
        <v>5.7817590829837117E-8</v>
      </c>
      <c r="Q17" s="4">
        <f t="shared" si="1"/>
        <v>2.1250796904883932E-7</v>
      </c>
      <c r="R17" s="1">
        <f>(K17*10^-3/$W$3)*0.33</f>
        <v>0</v>
      </c>
      <c r="S17" s="1">
        <f>(J17*10^-3/$W$2)*0.941</f>
        <v>0</v>
      </c>
      <c r="T17" s="14">
        <f>R17+S17</f>
        <v>0</v>
      </c>
    </row>
    <row r="18" spans="1:20">
      <c r="A18" s="8" t="s">
        <v>72</v>
      </c>
      <c r="B18" s="82" t="s">
        <v>45</v>
      </c>
      <c r="C18" s="44">
        <v>2</v>
      </c>
      <c r="D18" s="1">
        <v>-142.69999999999999</v>
      </c>
      <c r="E18" s="1">
        <v>-128.6</v>
      </c>
      <c r="F18" s="1">
        <v>11.54</v>
      </c>
      <c r="G18" s="1">
        <v>6.27</v>
      </c>
      <c r="H18" s="1">
        <v>18.14</v>
      </c>
      <c r="I18" s="1">
        <v>7.87</v>
      </c>
      <c r="J18" s="1"/>
      <c r="K18" s="1"/>
      <c r="L18" s="1">
        <v>19</v>
      </c>
      <c r="M18" s="1">
        <f t="shared" si="0"/>
        <v>-0.14269999999999999</v>
      </c>
      <c r="N18" s="1">
        <f t="shared" si="2"/>
        <v>20.363289999999999</v>
      </c>
      <c r="O18" s="1">
        <f>(N18*10^-6)/D_Calculation_electrode_area!$B$19</f>
        <v>1.601116983938933E-3</v>
      </c>
      <c r="P18" s="1">
        <f t="shared" si="4"/>
        <v>5.3958515303665991E-8</v>
      </c>
      <c r="Q18" s="4">
        <f t="shared" si="1"/>
        <v>1.9594484793179741E-7</v>
      </c>
      <c r="R18" s="1">
        <f>(K18*10^-3/$W$3)*0.33</f>
        <v>0</v>
      </c>
      <c r="S18" s="1">
        <f>(J18*10^-3/$W$2)*0.941</f>
        <v>0</v>
      </c>
      <c r="T18" s="14">
        <f>R18+S18</f>
        <v>0</v>
      </c>
    </row>
    <row r="19" spans="1:20">
      <c r="A19" s="8" t="s">
        <v>73</v>
      </c>
      <c r="B19" s="82" t="s">
        <v>45</v>
      </c>
      <c r="C19" s="44">
        <v>2</v>
      </c>
      <c r="D19" s="1">
        <v>-196.1</v>
      </c>
      <c r="E19" s="1">
        <v>-416.7</v>
      </c>
      <c r="F19" s="1">
        <v>-218.9</v>
      </c>
      <c r="G19" s="1">
        <v>6.15</v>
      </c>
      <c r="H19" s="1">
        <v>18.75</v>
      </c>
      <c r="I19" s="1">
        <v>7.97</v>
      </c>
      <c r="J19" s="1"/>
      <c r="K19" s="1"/>
      <c r="L19" s="1">
        <v>19</v>
      </c>
      <c r="M19" s="1">
        <f t="shared" si="0"/>
        <v>-0.1961</v>
      </c>
      <c r="N19" s="1">
        <f t="shared" si="2"/>
        <v>38.455210000000001</v>
      </c>
      <c r="O19" s="1">
        <f>(N19*10^-6)/D_Calculation_electrode_area!$B$19</f>
        <v>3.0236415555609285E-3</v>
      </c>
      <c r="P19" s="1">
        <f t="shared" si="4"/>
        <v>4.2860772209504172E-8</v>
      </c>
      <c r="Q19" s="4">
        <f t="shared" si="1"/>
        <v>1.9219470730152383E-7</v>
      </c>
      <c r="R19" s="1">
        <f>(K19*10^-3/$W$3)*0.33</f>
        <v>0</v>
      </c>
      <c r="S19" s="1">
        <f>(J19*10^-3/$W$2)*0.941</f>
        <v>0</v>
      </c>
      <c r="T19" s="14">
        <f>R19+S19</f>
        <v>0</v>
      </c>
    </row>
    <row r="20" spans="1:20">
      <c r="A20" s="8" t="s">
        <v>74</v>
      </c>
      <c r="B20" s="82" t="s">
        <v>45</v>
      </c>
      <c r="C20" s="44">
        <v>2</v>
      </c>
      <c r="D20" s="1">
        <f>-0.761*1000</f>
        <v>-761</v>
      </c>
      <c r="E20" s="1">
        <v>-450.1</v>
      </c>
      <c r="F20" s="1">
        <v>312</v>
      </c>
      <c r="G20" s="1">
        <v>6.5</v>
      </c>
      <c r="H20" s="1">
        <v>18.899999999999999</v>
      </c>
      <c r="I20" s="1">
        <v>7.9</v>
      </c>
      <c r="J20" s="1"/>
      <c r="K20" s="1"/>
      <c r="L20" s="1">
        <v>18.899999999999999</v>
      </c>
      <c r="M20" s="1">
        <f t="shared" si="0"/>
        <v>-0.76100000000000001</v>
      </c>
      <c r="N20" s="1">
        <f t="shared" si="2"/>
        <v>579.12099999999998</v>
      </c>
      <c r="O20" s="1">
        <f>(N20*10^-6)/D_Calculation_electrode_area!$B$19</f>
        <v>4.553490466696191E-2</v>
      </c>
      <c r="P20" s="1">
        <f t="shared" si="4"/>
        <v>5.0357016471766551E-8</v>
      </c>
      <c r="Q20" s="4">
        <f t="shared" si="1"/>
        <v>2.0313261747315523E-7</v>
      </c>
      <c r="R20" s="1">
        <f>(K20*10^-3/$W$3)*0.33</f>
        <v>0</v>
      </c>
      <c r="S20" s="1">
        <f>(J20*10^-3/$W$2)*0.941</f>
        <v>0</v>
      </c>
      <c r="T20" s="14">
        <f>R20+S20</f>
        <v>0</v>
      </c>
    </row>
    <row r="21" spans="1:20">
      <c r="A21" s="8" t="s">
        <v>75</v>
      </c>
      <c r="B21" s="82" t="s">
        <v>45</v>
      </c>
      <c r="C21" s="44">
        <v>2</v>
      </c>
      <c r="D21" s="1">
        <f>-0.778*1000</f>
        <v>-778</v>
      </c>
      <c r="E21" s="1">
        <v>-450.2</v>
      </c>
      <c r="F21" s="1">
        <v>318.39999999999998</v>
      </c>
      <c r="G21" s="1">
        <v>6.44</v>
      </c>
      <c r="H21" s="1">
        <v>18.96</v>
      </c>
      <c r="I21" s="1">
        <v>7.83</v>
      </c>
      <c r="J21" s="1"/>
      <c r="K21" s="1"/>
      <c r="L21" s="1">
        <v>18.899999999999999</v>
      </c>
      <c r="M21" s="1">
        <f t="shared" si="0"/>
        <v>-0.77800000000000002</v>
      </c>
      <c r="N21" s="1">
        <f t="shared" si="2"/>
        <v>605.28399999999999</v>
      </c>
      <c r="O21" s="1">
        <f>(N21*10^-6)/D_Calculation_electrode_area!$B$19</f>
        <v>4.759203903232205E-2</v>
      </c>
      <c r="P21" s="1">
        <f t="shared" si="4"/>
        <v>5.9164335526728104E-8</v>
      </c>
      <c r="Q21" s="4">
        <f t="shared" si="1"/>
        <v>2.0125754715801843E-7</v>
      </c>
      <c r="R21" s="1">
        <f>(K21*10^-3/$W$3)*0.33</f>
        <v>0</v>
      </c>
      <c r="S21" s="1">
        <f>(J21*10^-3/$W$2)*0.941</f>
        <v>0</v>
      </c>
      <c r="T21" s="14">
        <f>R21+S21</f>
        <v>0</v>
      </c>
    </row>
    <row r="22" spans="1:20">
      <c r="A22" s="8" t="s">
        <v>76</v>
      </c>
      <c r="B22" s="82" t="s">
        <v>45</v>
      </c>
      <c r="C22" s="44">
        <v>2</v>
      </c>
      <c r="D22" s="1">
        <f>-0.778*1000</f>
        <v>-778</v>
      </c>
      <c r="E22" s="1">
        <v>-454.3</v>
      </c>
      <c r="F22" s="1">
        <v>342.7</v>
      </c>
      <c r="G22" s="1">
        <v>5.25</v>
      </c>
      <c r="H22" s="1">
        <v>18.98</v>
      </c>
      <c r="I22" s="1">
        <v>7.89</v>
      </c>
      <c r="J22" s="1"/>
      <c r="K22" s="1"/>
      <c r="L22" s="1">
        <v>19.100000000000001</v>
      </c>
      <c r="M22" s="1">
        <f t="shared" si="0"/>
        <v>-0.77800000000000002</v>
      </c>
      <c r="N22" s="1">
        <f t="shared" si="2"/>
        <v>605.28399999999999</v>
      </c>
      <c r="O22" s="1">
        <f>(N22*10^-6)/D_Calculation_electrode_area!$B$19</f>
        <v>4.759203903232205E-2</v>
      </c>
      <c r="P22" s="1">
        <f t="shared" si="4"/>
        <v>5.1529982067725399E-8</v>
      </c>
      <c r="Q22" s="4">
        <f t="shared" si="1"/>
        <v>1.6406865257447153E-7</v>
      </c>
      <c r="R22" s="1">
        <f>(K22*10^-3/$W$3)*0.33</f>
        <v>0</v>
      </c>
      <c r="S22" s="1">
        <f>(J22*10^-3/$W$2)*0.941</f>
        <v>0</v>
      </c>
      <c r="T22" s="14">
        <f>R22+S22</f>
        <v>0</v>
      </c>
    </row>
    <row r="23" spans="1:20">
      <c r="A23" s="8" t="s">
        <v>77</v>
      </c>
      <c r="B23" s="82" t="s">
        <v>45</v>
      </c>
      <c r="C23" s="44">
        <v>2</v>
      </c>
      <c r="D23" s="1"/>
      <c r="E23" s="1"/>
      <c r="F23" s="1"/>
      <c r="G23" s="1">
        <v>6.15</v>
      </c>
      <c r="H23" s="1">
        <v>18.82</v>
      </c>
      <c r="I23" s="1">
        <v>7.92</v>
      </c>
      <c r="J23" s="1"/>
      <c r="K23" s="1"/>
      <c r="L23" s="1">
        <v>19</v>
      </c>
      <c r="M23" s="1"/>
      <c r="N23" s="1"/>
      <c r="O23" s="1"/>
      <c r="P23" s="1">
        <f t="shared" si="4"/>
        <v>4.8090577384696396E-8</v>
      </c>
      <c r="Q23" s="4">
        <f t="shared" si="1"/>
        <v>1.9219470730152383E-7</v>
      </c>
      <c r="R23" s="1">
        <f>(K23*10^-3/$W$3)*0.33</f>
        <v>0</v>
      </c>
      <c r="S23" s="1">
        <f>(J23*10^-3/$W$2)*0.941</f>
        <v>0</v>
      </c>
      <c r="T23" s="14">
        <f>R23+S23</f>
        <v>0</v>
      </c>
    </row>
    <row r="24" spans="1:20">
      <c r="A24" s="18" t="s">
        <v>78</v>
      </c>
      <c r="B24" s="83" t="s">
        <v>45</v>
      </c>
      <c r="C24" s="44">
        <v>2</v>
      </c>
      <c r="D24" s="1"/>
      <c r="E24" s="1"/>
      <c r="F24" s="1"/>
      <c r="G24" s="1">
        <v>5.58</v>
      </c>
      <c r="H24" s="1">
        <v>18.73</v>
      </c>
      <c r="I24" s="1">
        <v>7.83</v>
      </c>
      <c r="J24" s="1"/>
      <c r="K24" s="1"/>
      <c r="L24" s="1">
        <v>19.100000000000001</v>
      </c>
      <c r="M24" s="1"/>
      <c r="N24" s="1"/>
      <c r="O24" s="1"/>
      <c r="P24" s="1">
        <f t="shared" si="4"/>
        <v>5.9164335526728104E-8</v>
      </c>
      <c r="Q24" s="4">
        <f t="shared" si="1"/>
        <v>1.7438153930772405E-7</v>
      </c>
      <c r="R24" s="1">
        <f>(K24*10^-3/$W$3)*0.33</f>
        <v>0</v>
      </c>
      <c r="S24" s="1">
        <f>(J24*10^-3/$W$2)*0.941</f>
        <v>0</v>
      </c>
      <c r="T24" s="14">
        <f>R24+S24</f>
        <v>0</v>
      </c>
    </row>
    <row r="25" spans="1:20">
      <c r="A25" s="9" t="s">
        <v>79</v>
      </c>
      <c r="B25" s="84" t="s">
        <v>45</v>
      </c>
      <c r="C25" s="68">
        <v>2</v>
      </c>
      <c r="D25" s="3"/>
      <c r="E25" s="3"/>
      <c r="F25" s="3"/>
      <c r="G25" s="3">
        <v>5.83</v>
      </c>
      <c r="H25" s="3">
        <v>19.13</v>
      </c>
      <c r="I25" s="3">
        <v>7.76</v>
      </c>
      <c r="J25" s="3"/>
      <c r="K25" s="3"/>
      <c r="L25" s="3">
        <v>19</v>
      </c>
      <c r="M25" s="3"/>
      <c r="N25" s="3"/>
      <c r="O25" s="3"/>
      <c r="P25" s="3">
        <f t="shared" si="4"/>
        <v>6.9512033149974987E-8</v>
      </c>
      <c r="Q25" s="113">
        <f t="shared" si="1"/>
        <v>1.8219433228746078E-7</v>
      </c>
      <c r="R25" s="3">
        <f>(K25*10^-3/$W$3)*0.33</f>
        <v>0</v>
      </c>
      <c r="S25" s="3">
        <f>(J25*10^-3/$W$2)*0.941</f>
        <v>0</v>
      </c>
      <c r="T25" s="15">
        <f>R25+S25</f>
        <v>0</v>
      </c>
    </row>
    <row r="26" spans="1:20">
      <c r="A26" s="17" t="s">
        <v>68</v>
      </c>
      <c r="B26" s="81" t="s">
        <v>46</v>
      </c>
      <c r="C26" s="70">
        <v>4</v>
      </c>
      <c r="D26" s="4">
        <v>-414.6</v>
      </c>
      <c r="E26" s="4">
        <v>-310.89999999999998</v>
      </c>
      <c r="F26" s="4">
        <v>103.9</v>
      </c>
      <c r="G26" s="4">
        <v>5.24</v>
      </c>
      <c r="H26" s="4">
        <v>18.899999999999999</v>
      </c>
      <c r="I26" s="4">
        <v>8.32</v>
      </c>
      <c r="J26" s="4"/>
      <c r="K26" s="4"/>
      <c r="L26" s="4">
        <v>18.8</v>
      </c>
      <c r="M26" s="4">
        <f t="shared" si="0"/>
        <v>-0.41460000000000002</v>
      </c>
      <c r="N26" s="4">
        <f t="shared" si="2"/>
        <v>171.89316000000002</v>
      </c>
      <c r="O26" s="4">
        <f>(N26*10^-6)/D_Calculation_electrode_area!$B$19</f>
        <v>1.3515549692556188E-2</v>
      </c>
      <c r="P26" s="4">
        <f t="shared" si="4"/>
        <v>1.9145203692905491E-8</v>
      </c>
      <c r="Q26" s="4">
        <f t="shared" si="1"/>
        <v>1.6375614085528207E-7</v>
      </c>
      <c r="R26" s="4">
        <f>(K26*10^-3/$W$3)*0.33</f>
        <v>0</v>
      </c>
      <c r="S26" s="4">
        <f>(J26*10^-3/$W$2)*0.941</f>
        <v>0</v>
      </c>
      <c r="T26" s="19">
        <f>R26+S26</f>
        <v>0</v>
      </c>
    </row>
    <row r="27" spans="1:20">
      <c r="A27" s="8" t="s">
        <v>69</v>
      </c>
      <c r="B27" s="82" t="s">
        <v>46</v>
      </c>
      <c r="C27" s="44">
        <v>4</v>
      </c>
      <c r="D27" s="1">
        <v>-181.3</v>
      </c>
      <c r="E27" s="1">
        <v>-78.5</v>
      </c>
      <c r="F27" s="1">
        <v>105.3</v>
      </c>
      <c r="G27" s="1">
        <v>6.79</v>
      </c>
      <c r="H27" s="1">
        <v>18.309999999999999</v>
      </c>
      <c r="I27" s="1">
        <v>8.24</v>
      </c>
      <c r="J27" s="1"/>
      <c r="K27" s="1"/>
      <c r="L27" s="1">
        <v>18.8</v>
      </c>
      <c r="M27" s="1">
        <f t="shared" si="0"/>
        <v>-0.18130000000000002</v>
      </c>
      <c r="N27" s="1">
        <f t="shared" si="2"/>
        <v>32.869690000000006</v>
      </c>
      <c r="O27" s="1">
        <f>(N27*10^-6)/D_Calculation_electrode_area!$B$19</f>
        <v>2.5844654236033436E-3</v>
      </c>
      <c r="P27" s="1">
        <f t="shared" si="4"/>
        <v>2.3017597493486208E-8</v>
      </c>
      <c r="Q27" s="4">
        <f t="shared" si="1"/>
        <v>2.1219545732964984E-7</v>
      </c>
      <c r="R27" s="1">
        <f>(K27*10^-3/$W$3)*0.33</f>
        <v>0</v>
      </c>
      <c r="S27" s="1">
        <f>(J27*10^-3/$W$2)*0.941</f>
        <v>0</v>
      </c>
      <c r="T27" s="14">
        <f>R27+S27</f>
        <v>0</v>
      </c>
    </row>
    <row r="28" spans="1:20">
      <c r="A28" s="8" t="s">
        <v>70</v>
      </c>
      <c r="B28" s="82" t="s">
        <v>46</v>
      </c>
      <c r="C28" s="44">
        <v>4</v>
      </c>
      <c r="D28" s="1">
        <v>-255</v>
      </c>
      <c r="E28" s="1">
        <v>-147.5</v>
      </c>
      <c r="F28" s="1">
        <v>108.7</v>
      </c>
      <c r="G28" s="1">
        <v>5.83</v>
      </c>
      <c r="H28" s="1">
        <v>18.440000000000001</v>
      </c>
      <c r="I28" s="1">
        <v>8.11</v>
      </c>
      <c r="J28" s="1"/>
      <c r="K28" s="1"/>
      <c r="L28" s="1">
        <v>18.8</v>
      </c>
      <c r="M28" s="1">
        <f t="shared" si="0"/>
        <v>-0.255</v>
      </c>
      <c r="N28" s="1">
        <f t="shared" si="2"/>
        <v>65.025000000000006</v>
      </c>
      <c r="O28" s="1">
        <f>(N28*10^-6)/D_Calculation_electrode_area!$B$19</f>
        <v>5.112760849579275E-3</v>
      </c>
      <c r="P28" s="4">
        <f t="shared" si="4"/>
        <v>3.104988466514765E-8</v>
      </c>
      <c r="Q28" s="4">
        <f t="shared" si="1"/>
        <v>1.8219433228746078E-7</v>
      </c>
      <c r="R28" s="1">
        <f>(K28*10^-3/$W$3)*0.33</f>
        <v>0</v>
      </c>
      <c r="S28" s="1">
        <f>(J28*10^-3/$W$2)*0.941</f>
        <v>0</v>
      </c>
      <c r="T28" s="14">
        <f>R28+S28</f>
        <v>0</v>
      </c>
    </row>
    <row r="29" spans="1:20">
      <c r="A29" s="8" t="s">
        <v>71</v>
      </c>
      <c r="B29" s="82" t="s">
        <v>46</v>
      </c>
      <c r="C29" s="44">
        <v>4</v>
      </c>
      <c r="D29" s="1">
        <v>-254.3</v>
      </c>
      <c r="E29" s="1">
        <v>-232.5</v>
      </c>
      <c r="F29" s="1">
        <v>20</v>
      </c>
      <c r="G29" s="1">
        <v>6.1</v>
      </c>
      <c r="H29" s="1">
        <v>18.64</v>
      </c>
      <c r="I29" s="1">
        <v>8.17</v>
      </c>
      <c r="J29" s="1"/>
      <c r="K29" s="1"/>
      <c r="L29" s="1">
        <v>18.8</v>
      </c>
      <c r="M29" s="1">
        <f t="shared" si="0"/>
        <v>-0.25430000000000003</v>
      </c>
      <c r="N29" s="1">
        <f t="shared" si="2"/>
        <v>64.668490000000006</v>
      </c>
      <c r="O29" s="1">
        <f>(N29*10^-6)/D_Calculation_electrode_area!$B$19</f>
        <v>5.0847293175456951E-3</v>
      </c>
      <c r="P29" s="1">
        <f t="shared" si="4"/>
        <v>2.7043319015679267E-8</v>
      </c>
      <c r="Q29" s="4">
        <f t="shared" si="1"/>
        <v>1.9063214870557645E-7</v>
      </c>
      <c r="R29" s="1">
        <f>(K29*10^-3/$W$3)*0.33</f>
        <v>0</v>
      </c>
      <c r="S29" s="1">
        <f>(J29*10^-3/$W$2)*0.941</f>
        <v>0</v>
      </c>
      <c r="T29" s="14">
        <f>R29+S29</f>
        <v>0</v>
      </c>
    </row>
    <row r="30" spans="1:20">
      <c r="A30" s="8" t="s">
        <v>72</v>
      </c>
      <c r="B30" s="82" t="s">
        <v>46</v>
      </c>
      <c r="C30" s="44">
        <v>4</v>
      </c>
      <c r="D30" s="1">
        <v>-200.2</v>
      </c>
      <c r="E30" s="1">
        <v>-125.3</v>
      </c>
      <c r="F30" s="1">
        <v>74.8</v>
      </c>
      <c r="G30" s="1">
        <v>6.18</v>
      </c>
      <c r="H30" s="1">
        <v>18.23</v>
      </c>
      <c r="I30" s="1">
        <v>8.18</v>
      </c>
      <c r="J30" s="1"/>
      <c r="K30" s="1"/>
      <c r="L30" s="1">
        <v>18.7</v>
      </c>
      <c r="M30" s="1">
        <f t="shared" si="0"/>
        <v>-0.20019999999999999</v>
      </c>
      <c r="N30" s="1">
        <f t="shared" si="2"/>
        <v>40.080039999999997</v>
      </c>
      <c r="O30" s="1">
        <f>(N30*10^-6)/D_Calculation_electrode_area!$B$19</f>
        <v>3.151398067844233E-3</v>
      </c>
      <c r="P30" s="4">
        <f t="shared" si="4"/>
        <v>2.6427737920303841E-8</v>
      </c>
      <c r="Q30" s="4">
        <f t="shared" si="1"/>
        <v>1.9313224245909219E-7</v>
      </c>
      <c r="R30" s="1">
        <f>(K30*10^-3/$W$3)*0.33</f>
        <v>0</v>
      </c>
      <c r="S30" s="1">
        <f>(J30*10^-3/$W$2)*0.941</f>
        <v>0</v>
      </c>
      <c r="T30" s="14">
        <f>R30+S30</f>
        <v>0</v>
      </c>
    </row>
    <row r="31" spans="1:20">
      <c r="A31" s="8" t="s">
        <v>73</v>
      </c>
      <c r="B31" s="82" t="s">
        <v>46</v>
      </c>
      <c r="C31" s="44">
        <v>4</v>
      </c>
      <c r="D31" s="1">
        <v>-264.5</v>
      </c>
      <c r="E31" s="1">
        <v>-409.4</v>
      </c>
      <c r="F31" s="1">
        <v>-148.69999999999999</v>
      </c>
      <c r="G31" s="1">
        <v>5.97</v>
      </c>
      <c r="H31" s="1">
        <v>18.809999999999999</v>
      </c>
      <c r="I31" s="1">
        <v>8.39</v>
      </c>
      <c r="J31" s="1"/>
      <c r="K31" s="1"/>
      <c r="L31" s="1">
        <v>18.899999999999999</v>
      </c>
      <c r="M31" s="1">
        <f t="shared" si="0"/>
        <v>-0.26450000000000001</v>
      </c>
      <c r="N31" s="1">
        <f t="shared" si="2"/>
        <v>69.960250000000002</v>
      </c>
      <c r="O31" s="1">
        <f>(N31*10^-6)/D_Calculation_electrode_area!$B$19</f>
        <v>5.5008078004887108E-3</v>
      </c>
      <c r="P31" s="1">
        <f t="shared" si="4"/>
        <v>1.6295211112164486E-8</v>
      </c>
      <c r="Q31" s="4">
        <f t="shared" si="1"/>
        <v>1.8656949635611336E-7</v>
      </c>
      <c r="R31" s="1">
        <f>(K31*10^-3/$W$3)*0.33</f>
        <v>0</v>
      </c>
      <c r="S31" s="1">
        <f>(J31*10^-3/$W$2)*0.941</f>
        <v>0</v>
      </c>
      <c r="T31" s="14">
        <f>R31+S31</f>
        <v>0</v>
      </c>
    </row>
    <row r="32" spans="1:20">
      <c r="A32" s="8" t="s">
        <v>74</v>
      </c>
      <c r="B32" s="82" t="s">
        <v>46</v>
      </c>
      <c r="C32" s="44">
        <v>4</v>
      </c>
      <c r="D32" s="1">
        <v>-776</v>
      </c>
      <c r="E32" s="1">
        <v>-454.3</v>
      </c>
      <c r="F32" s="1">
        <v>317.60000000000002</v>
      </c>
      <c r="G32" s="1">
        <v>6.85</v>
      </c>
      <c r="H32" s="1">
        <v>18.989999999999998</v>
      </c>
      <c r="I32" s="1">
        <v>8.15</v>
      </c>
      <c r="J32" s="1"/>
      <c r="K32" s="1"/>
      <c r="L32" s="1">
        <v>18.899999999999999</v>
      </c>
      <c r="M32" s="1">
        <f t="shared" si="0"/>
        <v>-0.77600000000000002</v>
      </c>
      <c r="N32" s="1">
        <f t="shared" si="2"/>
        <v>602.17600000000004</v>
      </c>
      <c r="O32" s="1">
        <f>(N32*10^-6)/D_Calculation_electrode_area!$B$19</f>
        <v>4.7347664396097645E-2</v>
      </c>
      <c r="P32" s="4">
        <f t="shared" si="4"/>
        <v>2.8317831375365405E-8</v>
      </c>
      <c r="Q32" s="4">
        <f t="shared" si="1"/>
        <v>2.1407052764478667E-7</v>
      </c>
      <c r="R32" s="1">
        <f>(K32*10^-3/$W$3)*0.33</f>
        <v>0</v>
      </c>
      <c r="S32" s="1">
        <f>(J32*10^-3/$W$2)*0.941</f>
        <v>0</v>
      </c>
      <c r="T32" s="14">
        <f>R32+S32</f>
        <v>0</v>
      </c>
    </row>
    <row r="33" spans="1:20">
      <c r="A33" s="8" t="s">
        <v>75</v>
      </c>
      <c r="B33" s="82" t="s">
        <v>46</v>
      </c>
      <c r="C33" s="44">
        <v>4</v>
      </c>
      <c r="D33" s="1">
        <v>-797</v>
      </c>
      <c r="E33" s="1">
        <v>-469.9</v>
      </c>
      <c r="F33" s="1">
        <v>328.9</v>
      </c>
      <c r="G33" s="1">
        <v>5.6</v>
      </c>
      <c r="H33" s="1">
        <v>19.03</v>
      </c>
      <c r="I33" s="1">
        <v>8.08</v>
      </c>
      <c r="J33" s="1"/>
      <c r="K33" s="1"/>
      <c r="L33" s="1">
        <v>19</v>
      </c>
      <c r="M33" s="1">
        <f t="shared" si="0"/>
        <v>-0.79700000000000004</v>
      </c>
      <c r="N33" s="1">
        <f t="shared" si="2"/>
        <v>635.20900000000006</v>
      </c>
      <c r="O33" s="1">
        <f>(N33*10^-6)/D_Calculation_electrode_area!$B$19</f>
        <v>4.9944970495969264E-2</v>
      </c>
      <c r="P33" s="1">
        <f t="shared" si="4"/>
        <v>3.3270550844106809E-8</v>
      </c>
      <c r="Q33" s="4">
        <f t="shared" si="1"/>
        <v>1.7500656274610296E-7</v>
      </c>
      <c r="R33" s="1">
        <f>(K33*10^-3/$W$3)*0.33</f>
        <v>0</v>
      </c>
      <c r="S33" s="1">
        <f>(J33*10^-3/$W$2)*0.941</f>
        <v>0</v>
      </c>
      <c r="T33" s="14">
        <f>R33+S33</f>
        <v>0</v>
      </c>
    </row>
    <row r="34" spans="1:20">
      <c r="A34" s="8" t="s">
        <v>76</v>
      </c>
      <c r="B34" s="82" t="s">
        <v>46</v>
      </c>
      <c r="C34" s="44">
        <v>4</v>
      </c>
      <c r="D34" s="1">
        <v>-762</v>
      </c>
      <c r="E34" s="1">
        <v>-457.2</v>
      </c>
      <c r="F34" s="1">
        <v>305.89999999999998</v>
      </c>
      <c r="G34" s="1">
        <v>6.14</v>
      </c>
      <c r="H34" s="1">
        <v>19.14</v>
      </c>
      <c r="I34" s="1">
        <v>8.1199999999999992</v>
      </c>
      <c r="J34" s="1"/>
      <c r="K34" s="1"/>
      <c r="L34" s="1">
        <v>19</v>
      </c>
      <c r="M34" s="1">
        <f t="shared" si="0"/>
        <v>-0.76200000000000001</v>
      </c>
      <c r="N34" s="1">
        <f t="shared" si="2"/>
        <v>580.64400000000001</v>
      </c>
      <c r="O34" s="1">
        <f>(N34*10^-6)/D_Calculation_electrode_area!$B$19</f>
        <v>4.5654654528921305E-2</v>
      </c>
      <c r="P34" s="4">
        <f t="shared" si="4"/>
        <v>3.0343103001167336E-8</v>
      </c>
      <c r="Q34" s="4">
        <f t="shared" si="1"/>
        <v>1.9188219558233432E-7</v>
      </c>
      <c r="R34" s="1">
        <f>(K34*10^-3/$W$3)*0.33</f>
        <v>0</v>
      </c>
      <c r="S34" s="1">
        <f>(J34*10^-3/$W$2)*0.941</f>
        <v>0</v>
      </c>
      <c r="T34" s="14">
        <f>R34+S34</f>
        <v>0</v>
      </c>
    </row>
    <row r="35" spans="1:20">
      <c r="A35" s="8" t="s">
        <v>77</v>
      </c>
      <c r="B35" s="82" t="s">
        <v>46</v>
      </c>
      <c r="C35" s="44">
        <v>4</v>
      </c>
      <c r="D35" s="1"/>
      <c r="E35" s="1"/>
      <c r="F35" s="1"/>
      <c r="G35" s="1">
        <v>6.19</v>
      </c>
      <c r="H35" s="1">
        <v>19</v>
      </c>
      <c r="I35" s="1">
        <v>8.1999999999999993</v>
      </c>
      <c r="J35" s="1"/>
      <c r="K35" s="1"/>
      <c r="L35" s="1">
        <v>19</v>
      </c>
      <c r="M35" s="1"/>
      <c r="N35" s="1"/>
      <c r="O35" s="1"/>
      <c r="P35" s="1">
        <f t="shared" si="4"/>
        <v>2.5238293779207732E-8</v>
      </c>
      <c r="Q35" s="4">
        <f t="shared" si="1"/>
        <v>1.934447541782817E-7</v>
      </c>
      <c r="R35" s="1">
        <f>(K35*10^-3/$W$3)*0.33</f>
        <v>0</v>
      </c>
      <c r="S35" s="1">
        <f>(J35*10^-3/$W$2)*0.941</f>
        <v>0</v>
      </c>
      <c r="T35" s="14">
        <f>R35+S35</f>
        <v>0</v>
      </c>
    </row>
    <row r="36" spans="1:20">
      <c r="A36" s="18" t="s">
        <v>78</v>
      </c>
      <c r="B36" s="82" t="s">
        <v>46</v>
      </c>
      <c r="C36" s="44">
        <v>4</v>
      </c>
      <c r="D36" s="1"/>
      <c r="E36" s="1"/>
      <c r="F36" s="1"/>
      <c r="G36" s="1">
        <v>6.09</v>
      </c>
      <c r="H36" s="1">
        <v>18.84</v>
      </c>
      <c r="I36" s="1">
        <v>8.15</v>
      </c>
      <c r="J36" s="1"/>
      <c r="K36" s="1"/>
      <c r="L36" s="1">
        <v>19.100000000000001</v>
      </c>
      <c r="M36" s="1"/>
      <c r="N36" s="1"/>
      <c r="O36" s="1"/>
      <c r="P36" s="4">
        <f t="shared" si="4"/>
        <v>2.8317831375365405E-8</v>
      </c>
      <c r="Q36" s="4">
        <f t="shared" si="1"/>
        <v>1.9031963698638697E-7</v>
      </c>
      <c r="R36" s="1">
        <f>(K36*10^-3/$W$3)*0.33</f>
        <v>0</v>
      </c>
      <c r="S36" s="1">
        <f>(J36*10^-3/$W$2)*0.941</f>
        <v>0</v>
      </c>
      <c r="T36" s="14">
        <f>R36+S36</f>
        <v>0</v>
      </c>
    </row>
    <row r="37" spans="1:20">
      <c r="A37" s="18" t="s">
        <v>79</v>
      </c>
      <c r="B37" s="83" t="s">
        <v>46</v>
      </c>
      <c r="C37" s="66">
        <v>4</v>
      </c>
      <c r="D37" s="2"/>
      <c r="E37" s="2"/>
      <c r="F37" s="2"/>
      <c r="G37" s="2">
        <v>6.24</v>
      </c>
      <c r="H37" s="2">
        <v>19.2</v>
      </c>
      <c r="I37" s="2">
        <v>8.08</v>
      </c>
      <c r="J37" s="2"/>
      <c r="K37" s="2"/>
      <c r="L37" s="2">
        <v>19.100000000000001</v>
      </c>
      <c r="M37" s="2"/>
      <c r="N37" s="2"/>
      <c r="O37" s="2"/>
      <c r="P37" s="1">
        <f t="shared" si="4"/>
        <v>3.3270550844106809E-8</v>
      </c>
      <c r="Q37" s="113">
        <f t="shared" si="1"/>
        <v>1.9500731277422902E-7</v>
      </c>
      <c r="R37" s="2">
        <f>(K37*10^-3/$W$3)*0.33</f>
        <v>0</v>
      </c>
      <c r="S37" s="2">
        <f>(J37*10^-3/$W$2)*0.941</f>
        <v>0</v>
      </c>
      <c r="T37" s="16">
        <f>R37+S37</f>
        <v>0</v>
      </c>
    </row>
    <row r="38" spans="1:20">
      <c r="A38" s="37" t="s">
        <v>68</v>
      </c>
      <c r="B38" s="51" t="s">
        <v>47</v>
      </c>
      <c r="C38" s="67">
        <v>7</v>
      </c>
      <c r="D38" s="12">
        <v>-441.4</v>
      </c>
      <c r="E38" s="12">
        <v>-338.1</v>
      </c>
      <c r="F38" s="12">
        <v>101.2</v>
      </c>
      <c r="G38" s="12">
        <v>5.54</v>
      </c>
      <c r="H38" s="12">
        <v>18.739999999999998</v>
      </c>
      <c r="I38" s="12">
        <v>8.3859999999999992</v>
      </c>
      <c r="J38" s="12"/>
      <c r="K38" s="12"/>
      <c r="L38" s="12">
        <v>19</v>
      </c>
      <c r="M38" s="12">
        <f t="shared" si="0"/>
        <v>-0.44139999999999996</v>
      </c>
      <c r="N38" s="12">
        <f t="shared" si="2"/>
        <v>194.83395999999996</v>
      </c>
      <c r="O38" s="12">
        <f>(N38*10^-6)/D_Calculation_electrode_area!$B$19</f>
        <v>1.5319330147735394E-2</v>
      </c>
      <c r="P38" s="12">
        <f t="shared" si="4"/>
        <v>1.6445988844180908E-8</v>
      </c>
      <c r="Q38" s="4">
        <f t="shared" si="1"/>
        <v>1.7313149243096616E-7</v>
      </c>
      <c r="R38" s="12">
        <f>(K38*10^-3/$W$3)*0.33</f>
        <v>0</v>
      </c>
      <c r="S38" s="12">
        <f>(J38*10^-3/$W$2)*0.941</f>
        <v>0</v>
      </c>
      <c r="T38" s="36">
        <f>R38+S38</f>
        <v>0</v>
      </c>
    </row>
    <row r="39" spans="1:20">
      <c r="A39" s="8" t="s">
        <v>69</v>
      </c>
      <c r="B39" s="48" t="s">
        <v>47</v>
      </c>
      <c r="C39" s="44">
        <v>7</v>
      </c>
      <c r="D39" s="1">
        <v>-270.60000000000002</v>
      </c>
      <c r="E39" s="1">
        <v>-171.8</v>
      </c>
      <c r="F39" s="1">
        <v>100</v>
      </c>
      <c r="G39" s="1">
        <v>5.34</v>
      </c>
      <c r="H39" s="1">
        <v>18.27</v>
      </c>
      <c r="I39" s="1">
        <v>8.2370000000000001</v>
      </c>
      <c r="J39" s="1"/>
      <c r="K39" s="1"/>
      <c r="L39" s="1">
        <v>18.899999999999999</v>
      </c>
      <c r="M39" s="1">
        <f t="shared" si="0"/>
        <v>-0.27060000000000001</v>
      </c>
      <c r="N39" s="1">
        <f t="shared" si="2"/>
        <v>73.224360000000004</v>
      </c>
      <c r="O39" s="1">
        <f>(N39*10^-6)/D_Calculation_electrode_area!$B$19</f>
        <v>5.7574569941330044E-3</v>
      </c>
      <c r="P39" s="1">
        <f t="shared" si="4"/>
        <v>2.3177147857075221E-8</v>
      </c>
      <c r="Q39" s="4">
        <f t="shared" si="1"/>
        <v>1.6688125804717675E-7</v>
      </c>
      <c r="R39" s="1">
        <f>(K39*10^-3/$W$3)*0.33</f>
        <v>0</v>
      </c>
      <c r="S39" s="1">
        <f>(J39*10^-3/$W$2)*0.941</f>
        <v>0</v>
      </c>
      <c r="T39" s="14">
        <f>R39+S39</f>
        <v>0</v>
      </c>
    </row>
    <row r="40" spans="1:20">
      <c r="A40" s="8" t="s">
        <v>70</v>
      </c>
      <c r="B40" s="48" t="s">
        <v>47</v>
      </c>
      <c r="C40" s="44">
        <v>7</v>
      </c>
      <c r="D40" s="1">
        <v>-421.7</v>
      </c>
      <c r="E40" s="1">
        <v>-229.4</v>
      </c>
      <c r="F40" s="1">
        <v>197.1</v>
      </c>
      <c r="G40" s="1">
        <v>5.55</v>
      </c>
      <c r="H40" s="1">
        <v>18.36</v>
      </c>
      <c r="I40" s="1">
        <v>8.2390000000000008</v>
      </c>
      <c r="J40" s="1"/>
      <c r="K40" s="1"/>
      <c r="L40" s="1">
        <v>18.7</v>
      </c>
      <c r="M40" s="1">
        <f t="shared" si="0"/>
        <v>-0.42169999999999996</v>
      </c>
      <c r="N40" s="1">
        <f t="shared" si="2"/>
        <v>177.83088999999998</v>
      </c>
      <c r="O40" s="1">
        <f>(N40*10^-6)/D_Calculation_electrode_area!$B$19</f>
        <v>1.3982419257790668E-2</v>
      </c>
      <c r="P40" s="1">
        <f t="shared" si="4"/>
        <v>2.3070658535689975E-8</v>
      </c>
      <c r="Q40" s="4">
        <f t="shared" si="1"/>
        <v>1.7344400415015561E-7</v>
      </c>
      <c r="R40" s="1">
        <f>(K40*10^-3/$W$3)*0.33</f>
        <v>0</v>
      </c>
      <c r="S40" s="1">
        <f>(J40*10^-3/$W$2)*0.941</f>
        <v>0</v>
      </c>
      <c r="T40" s="14">
        <f>R40+S40</f>
        <v>0</v>
      </c>
    </row>
    <row r="41" spans="1:20">
      <c r="A41" s="8" t="s">
        <v>71</v>
      </c>
      <c r="B41" s="48" t="s">
        <v>47</v>
      </c>
      <c r="C41" s="44">
        <v>7</v>
      </c>
      <c r="D41" s="1">
        <v>-233.1</v>
      </c>
      <c r="E41" s="1">
        <v>-268.3</v>
      </c>
      <c r="F41" s="1">
        <v>-43.29</v>
      </c>
      <c r="G41" s="1">
        <v>5.91</v>
      </c>
      <c r="H41" s="1">
        <v>18.52</v>
      </c>
      <c r="I41" s="1">
        <v>8.2110000000000003</v>
      </c>
      <c r="J41" s="1"/>
      <c r="K41" s="1"/>
      <c r="L41" s="1">
        <v>19</v>
      </c>
      <c r="M41" s="1">
        <f t="shared" si="0"/>
        <v>-0.2331</v>
      </c>
      <c r="N41" s="1">
        <f t="shared" si="2"/>
        <v>54.335609999999996</v>
      </c>
      <c r="O41" s="1">
        <f>(N41*10^-6)/D_Calculation_electrode_area!$B$19</f>
        <v>4.2722795777932806E-3</v>
      </c>
      <c r="P41" s="1">
        <f t="shared" si="4"/>
        <v>2.4607074908394628E-8</v>
      </c>
      <c r="Q41" s="4">
        <f t="shared" si="1"/>
        <v>1.8469442604097655E-7</v>
      </c>
      <c r="R41" s="1">
        <f>(K41*10^-3/$W$3)*0.33</f>
        <v>0</v>
      </c>
      <c r="S41" s="1">
        <f>(J41*10^-3/$W$2)*0.941</f>
        <v>0</v>
      </c>
      <c r="T41" s="14">
        <f>R41+S41</f>
        <v>0</v>
      </c>
    </row>
    <row r="42" spans="1:20">
      <c r="A42" s="8" t="s">
        <v>72</v>
      </c>
      <c r="B42" s="48" t="s">
        <v>47</v>
      </c>
      <c r="C42" s="44">
        <v>7</v>
      </c>
      <c r="D42" s="1">
        <v>-300.89999999999998</v>
      </c>
      <c r="E42" s="1">
        <v>-216.9</v>
      </c>
      <c r="F42" s="1">
        <v>81.2</v>
      </c>
      <c r="G42" s="1">
        <v>6.02</v>
      </c>
      <c r="H42" s="1">
        <v>18.07</v>
      </c>
      <c r="I42" s="1">
        <v>8.3580000000000005</v>
      </c>
      <c r="J42" s="1"/>
      <c r="K42" s="1"/>
      <c r="L42" s="1">
        <v>18.8</v>
      </c>
      <c r="M42" s="1">
        <f t="shared" si="0"/>
        <v>-0.3009</v>
      </c>
      <c r="N42" s="1">
        <f t="shared" si="2"/>
        <v>90.540809999999993</v>
      </c>
      <c r="O42" s="1">
        <f>(N42*10^-6)/D_Calculation_electrode_area!$B$19</f>
        <v>7.1190082069541799E-3</v>
      </c>
      <c r="P42" s="1">
        <f t="shared" si="4"/>
        <v>1.7541227910999358E-8</v>
      </c>
      <c r="Q42" s="4">
        <f t="shared" si="1"/>
        <v>1.8813205495206068E-7</v>
      </c>
      <c r="R42" s="1">
        <f>(K42*10^-3/$W$3)*0.33</f>
        <v>0</v>
      </c>
      <c r="S42" s="1">
        <f>(J42*10^-3/$W$2)*0.941</f>
        <v>0</v>
      </c>
      <c r="T42" s="14">
        <f>R42+S42</f>
        <v>0</v>
      </c>
    </row>
    <row r="43" spans="1:20">
      <c r="A43" s="8" t="s">
        <v>73</v>
      </c>
      <c r="B43" s="48" t="s">
        <v>47</v>
      </c>
      <c r="C43" s="44">
        <v>7</v>
      </c>
      <c r="D43" s="1">
        <v>-263</v>
      </c>
      <c r="E43" s="1">
        <v>-403.1</v>
      </c>
      <c r="F43" s="1">
        <v>-138.4</v>
      </c>
      <c r="G43" s="1">
        <v>5.72</v>
      </c>
      <c r="H43" s="1">
        <v>18.760000000000002</v>
      </c>
      <c r="I43" s="1">
        <v>8.3949999999999996</v>
      </c>
      <c r="J43" s="1"/>
      <c r="K43" s="1"/>
      <c r="L43" s="1">
        <v>18.899999999999999</v>
      </c>
      <c r="M43" s="1">
        <f t="shared" si="0"/>
        <v>-0.26300000000000001</v>
      </c>
      <c r="N43" s="1">
        <f t="shared" si="2"/>
        <v>69.168999999999997</v>
      </c>
      <c r="O43" s="1">
        <f>(N43*10^-6)/D_Calculation_electrode_area!$B$19</f>
        <v>5.4385936978784888E-3</v>
      </c>
      <c r="P43" s="1">
        <f t="shared" si="4"/>
        <v>1.6108681373018338E-8</v>
      </c>
      <c r="Q43" s="4">
        <f t="shared" si="1"/>
        <v>1.787567033763766E-7</v>
      </c>
      <c r="R43" s="1">
        <f>(K43*10^-3/$W$3)*0.33</f>
        <v>0</v>
      </c>
      <c r="S43" s="1">
        <f>(J43*10^-3/$W$2)*0.941</f>
        <v>0</v>
      </c>
      <c r="T43" s="14">
        <f>R43+S43</f>
        <v>0</v>
      </c>
    </row>
    <row r="44" spans="1:20">
      <c r="A44" s="8" t="s">
        <v>74</v>
      </c>
      <c r="B44" s="48" t="s">
        <v>47</v>
      </c>
      <c r="C44" s="44">
        <v>7</v>
      </c>
      <c r="D44" s="1">
        <v>-755</v>
      </c>
      <c r="E44" s="1">
        <v>-457.5</v>
      </c>
      <c r="F44" s="1">
        <v>302.5</v>
      </c>
      <c r="G44" s="1">
        <v>6.62</v>
      </c>
      <c r="H44" s="1">
        <v>18.89</v>
      </c>
      <c r="I44" s="1">
        <v>8.23</v>
      </c>
      <c r="J44" s="1"/>
      <c r="K44" s="1"/>
      <c r="L44" s="1">
        <v>18.899999999999999</v>
      </c>
      <c r="M44" s="1">
        <f t="shared" si="0"/>
        <v>-0.755</v>
      </c>
      <c r="N44" s="1">
        <f t="shared" si="2"/>
        <v>570.02499999999998</v>
      </c>
      <c r="O44" s="1">
        <f>(N44*10^-6)/D_Calculation_electrode_area!$B$19</f>
        <v>4.4819707855154559E-2</v>
      </c>
      <c r="P44" s="1">
        <f t="shared" si="4"/>
        <v>2.3553746214223485E-8</v>
      </c>
      <c r="Q44" s="4">
        <f t="shared" si="1"/>
        <v>2.068827581034289E-7</v>
      </c>
      <c r="R44" s="1">
        <f>(K44*10^-3/$W$3)*0.33</f>
        <v>0</v>
      </c>
      <c r="S44" s="1">
        <f>(J44*10^-3/$W$2)*0.941</f>
        <v>0</v>
      </c>
      <c r="T44" s="14">
        <f>R44+S44</f>
        <v>0</v>
      </c>
    </row>
    <row r="45" spans="1:20">
      <c r="A45" s="8" t="s">
        <v>75</v>
      </c>
      <c r="B45" s="48" t="s">
        <v>47</v>
      </c>
      <c r="C45" s="44">
        <v>7</v>
      </c>
      <c r="D45" s="1">
        <v>-759</v>
      </c>
      <c r="E45" s="1">
        <v>-461.9</v>
      </c>
      <c r="F45" s="1">
        <v>295.3</v>
      </c>
      <c r="G45" s="1">
        <v>6.24</v>
      </c>
      <c r="H45" s="1">
        <v>18.920000000000002</v>
      </c>
      <c r="I45" s="1">
        <v>8.1869999999999994</v>
      </c>
      <c r="J45" s="1"/>
      <c r="K45" s="1"/>
      <c r="L45" s="1">
        <v>19</v>
      </c>
      <c r="M45" s="1">
        <f t="shared" si="0"/>
        <v>-0.75900000000000001</v>
      </c>
      <c r="N45" s="1">
        <f t="shared" si="2"/>
        <v>576.08100000000002</v>
      </c>
      <c r="O45" s="1">
        <f>(N45*10^-6)/D_Calculation_electrode_area!$B$19</f>
        <v>4.5295876708750141E-2</v>
      </c>
      <c r="P45" s="1">
        <f t="shared" si="4"/>
        <v>2.6005187613723592E-8</v>
      </c>
      <c r="Q45" s="4">
        <f t="shared" si="1"/>
        <v>1.9500731277422902E-7</v>
      </c>
      <c r="R45" s="1">
        <f>(K45*10^-3/$W$3)*0.33</f>
        <v>0</v>
      </c>
      <c r="S45" s="1">
        <f>(J45*10^-3/$W$2)*0.941</f>
        <v>0</v>
      </c>
      <c r="T45" s="14">
        <f>R45+S45</f>
        <v>0</v>
      </c>
    </row>
    <row r="46" spans="1:20">
      <c r="A46" s="8" t="s">
        <v>76</v>
      </c>
      <c r="B46" s="48" t="s">
        <v>47</v>
      </c>
      <c r="C46" s="44">
        <v>7</v>
      </c>
      <c r="D46" s="1">
        <v>-733</v>
      </c>
      <c r="E46" s="1">
        <v>-462.1</v>
      </c>
      <c r="F46" s="1">
        <v>271.39999999999998</v>
      </c>
      <c r="G46" s="1">
        <v>5.9</v>
      </c>
      <c r="H46" s="1">
        <v>18.95</v>
      </c>
      <c r="I46" s="1">
        <v>8.2439999999999998</v>
      </c>
      <c r="J46" s="1"/>
      <c r="K46" s="1"/>
      <c r="L46" s="1">
        <v>19</v>
      </c>
      <c r="M46" s="1">
        <f t="shared" si="0"/>
        <v>-0.73299999999999998</v>
      </c>
      <c r="N46" s="1">
        <f t="shared" si="2"/>
        <v>537.28899999999999</v>
      </c>
      <c r="O46" s="1">
        <f>(N46*10^-6)/D_Calculation_electrode_area!$B$19</f>
        <v>4.2245754157779286E-2</v>
      </c>
      <c r="P46" s="1">
        <f t="shared" si="4"/>
        <v>2.2806570891229852E-8</v>
      </c>
      <c r="Q46" s="4">
        <f t="shared" si="1"/>
        <v>1.8438191432178707E-7</v>
      </c>
      <c r="R46" s="1">
        <f>(K46*10^-3/$W$3)*0.33</f>
        <v>0</v>
      </c>
      <c r="S46" s="1">
        <f>(J46*10^-3/$W$2)*0.941</f>
        <v>0</v>
      </c>
      <c r="T46" s="14">
        <f>R46+S46</f>
        <v>0</v>
      </c>
    </row>
    <row r="47" spans="1:20">
      <c r="A47" s="8" t="s">
        <v>77</v>
      </c>
      <c r="B47" s="48" t="s">
        <v>47</v>
      </c>
      <c r="C47" s="44">
        <v>7</v>
      </c>
      <c r="D47" s="1"/>
      <c r="E47" s="1"/>
      <c r="F47" s="1"/>
      <c r="G47" s="1">
        <v>5.72</v>
      </c>
      <c r="H47" s="1">
        <v>18.850000000000001</v>
      </c>
      <c r="I47" s="1">
        <v>8.4239999999999995</v>
      </c>
      <c r="J47" s="1"/>
      <c r="K47" s="1"/>
      <c r="L47" s="1">
        <v>19.100000000000001</v>
      </c>
      <c r="M47" s="1"/>
      <c r="N47" s="1"/>
      <c r="O47" s="1"/>
      <c r="P47" s="1">
        <f t="shared" si="4"/>
        <v>1.5068151959356347E-8</v>
      </c>
      <c r="Q47" s="4">
        <f t="shared" si="1"/>
        <v>1.787567033763766E-7</v>
      </c>
      <c r="R47" s="1">
        <f>(K47*10^-3/$W$3)*0.33</f>
        <v>0</v>
      </c>
      <c r="S47" s="1">
        <f>(J47*10^-3/$W$2)*0.941</f>
        <v>0</v>
      </c>
      <c r="T47" s="14">
        <f>R47+S47</f>
        <v>0</v>
      </c>
    </row>
    <row r="48" spans="1:20">
      <c r="A48" s="18" t="s">
        <v>78</v>
      </c>
      <c r="B48" s="48" t="s">
        <v>47</v>
      </c>
      <c r="C48" s="44">
        <v>7</v>
      </c>
      <c r="D48" s="1"/>
      <c r="E48" s="1"/>
      <c r="F48" s="1"/>
      <c r="G48" s="1">
        <v>6.53</v>
      </c>
      <c r="H48" s="1">
        <v>18.7</v>
      </c>
      <c r="I48" s="1">
        <v>8.2430000000000003</v>
      </c>
      <c r="J48" s="1"/>
      <c r="K48" s="1"/>
      <c r="L48" s="1">
        <v>19</v>
      </c>
      <c r="M48" s="1"/>
      <c r="N48" s="1"/>
      <c r="O48" s="1"/>
      <c r="P48" s="1">
        <f t="shared" si="4"/>
        <v>2.2859145466874644E-8</v>
      </c>
      <c r="Q48" s="4">
        <f t="shared" si="1"/>
        <v>2.0407015263072365E-7</v>
      </c>
      <c r="R48" s="1">
        <f>(K48*10^-3/$W$3)*0.33</f>
        <v>0</v>
      </c>
      <c r="S48" s="1">
        <f>(J48*10^-3/$W$2)*0.941</f>
        <v>0</v>
      </c>
      <c r="T48" s="14">
        <f>R48+S48</f>
        <v>0</v>
      </c>
    </row>
    <row r="49" spans="1:20">
      <c r="A49" s="9" t="s">
        <v>79</v>
      </c>
      <c r="B49" s="49" t="s">
        <v>47</v>
      </c>
      <c r="C49" s="68">
        <v>7</v>
      </c>
      <c r="D49" s="3"/>
      <c r="E49" s="3"/>
      <c r="F49" s="3">
        <v>97.1</v>
      </c>
      <c r="G49" s="3">
        <v>6.44</v>
      </c>
      <c r="H49" s="3">
        <v>19.12</v>
      </c>
      <c r="I49" s="3">
        <v>8.19</v>
      </c>
      <c r="J49" s="3"/>
      <c r="K49" s="3"/>
      <c r="L49" s="3">
        <v>18.899999999999999</v>
      </c>
      <c r="M49" s="3"/>
      <c r="N49" s="3"/>
      <c r="O49" s="3"/>
      <c r="P49" s="3">
        <f t="shared" si="4"/>
        <v>2.582616916138622E-8</v>
      </c>
      <c r="Q49" s="113">
        <f t="shared" si="1"/>
        <v>2.0125754715801843E-7</v>
      </c>
      <c r="R49" s="3">
        <f>(K49*10^-3/$W$3)*0.33</f>
        <v>0</v>
      </c>
      <c r="S49" s="3">
        <f>(J49*10^-3/$W$2)*0.941</f>
        <v>0</v>
      </c>
      <c r="T49" s="15">
        <f>R49+S49</f>
        <v>0</v>
      </c>
    </row>
    <row r="50" spans="1:20">
      <c r="A50" s="17" t="s">
        <v>68</v>
      </c>
      <c r="B50" s="47" t="s">
        <v>48</v>
      </c>
      <c r="C50" s="70">
        <v>9</v>
      </c>
      <c r="D50" s="4">
        <v>-448</v>
      </c>
      <c r="E50" s="4">
        <v>-350.8</v>
      </c>
      <c r="F50" s="4">
        <v>97.1</v>
      </c>
      <c r="G50" s="4">
        <v>6.12</v>
      </c>
      <c r="H50" s="4">
        <v>18.82</v>
      </c>
      <c r="I50" s="4">
        <v>8.4209999999999994</v>
      </c>
      <c r="J50" s="4">
        <v>0</v>
      </c>
      <c r="K50" s="4">
        <f>121*5</f>
        <v>605</v>
      </c>
      <c r="L50" s="4">
        <v>19.3</v>
      </c>
      <c r="M50" s="4">
        <f t="shared" si="0"/>
        <v>-0.44800000000000001</v>
      </c>
      <c r="N50" s="4">
        <f t="shared" si="2"/>
        <v>200.70400000000001</v>
      </c>
      <c r="O50" s="4">
        <f>(N50*10^-6)/D_Calculation_electrode_area!$B$19</f>
        <v>1.5780877409518779E-2</v>
      </c>
      <c r="P50" s="4">
        <f t="shared" si="4"/>
        <v>1.5172599398947245E-8</v>
      </c>
      <c r="Q50" s="4">
        <f t="shared" si="1"/>
        <v>1.9125717214395539E-7</v>
      </c>
      <c r="R50" s="4">
        <f>(K50*10^-3/$W$3)*0.33</f>
        <v>2.0783322541759229E-3</v>
      </c>
      <c r="S50" s="4">
        <f>(J50*10^-3/$W$2)*0.941</f>
        <v>0</v>
      </c>
      <c r="T50" s="19">
        <f>R50+S50</f>
        <v>2.0783322541759229E-3</v>
      </c>
    </row>
    <row r="51" spans="1:20">
      <c r="A51" s="8" t="s">
        <v>69</v>
      </c>
      <c r="B51" s="48" t="s">
        <v>48</v>
      </c>
      <c r="C51" s="44">
        <v>9</v>
      </c>
      <c r="D51" s="1">
        <v>-313.5</v>
      </c>
      <c r="E51" s="1">
        <v>-156.30000000000001</v>
      </c>
      <c r="F51" s="1">
        <v>162.30000000000001</v>
      </c>
      <c r="G51" s="1">
        <v>4.82</v>
      </c>
      <c r="H51" s="1">
        <v>18.05</v>
      </c>
      <c r="I51" s="1">
        <v>8.3290000000000006</v>
      </c>
      <c r="J51" s="1">
        <v>0</v>
      </c>
      <c r="K51" s="1">
        <f>120*5</f>
        <v>600</v>
      </c>
      <c r="L51" s="1">
        <v>19.5</v>
      </c>
      <c r="M51" s="1">
        <f t="shared" si="0"/>
        <v>-0.3135</v>
      </c>
      <c r="N51" s="1">
        <f t="shared" si="2"/>
        <v>98.282250000000005</v>
      </c>
      <c r="O51" s="1">
        <f>(N51*10^-6)/D_Calculation_electrode_area!$B$19</f>
        <v>7.7276991927499048E-3</v>
      </c>
      <c r="P51" s="1">
        <f t="shared" si="4"/>
        <v>1.8752535285810516E-8</v>
      </c>
      <c r="Q51" s="4">
        <f t="shared" si="1"/>
        <v>1.5063064864932435E-7</v>
      </c>
      <c r="R51" s="1">
        <f>(K51*10^-3/$W$3)*0.33</f>
        <v>2.061155954554634E-3</v>
      </c>
      <c r="S51" s="1">
        <f>(J51*10^-3/$W$2)*0.941</f>
        <v>0</v>
      </c>
      <c r="T51" s="14">
        <f>R51+S51</f>
        <v>2.061155954554634E-3</v>
      </c>
    </row>
    <row r="52" spans="1:20">
      <c r="A52" s="8" t="s">
        <v>70</v>
      </c>
      <c r="B52" s="48" t="s">
        <v>48</v>
      </c>
      <c r="C52" s="44">
        <v>9</v>
      </c>
      <c r="D52" s="1">
        <v>-481.6</v>
      </c>
      <c r="E52" s="1">
        <v>-266.7</v>
      </c>
      <c r="F52" s="1">
        <v>215</v>
      </c>
      <c r="G52" s="1">
        <v>5.84</v>
      </c>
      <c r="H52" s="1">
        <v>18.22</v>
      </c>
      <c r="I52" s="1">
        <v>8.3729999999999993</v>
      </c>
      <c r="J52" s="1">
        <v>0</v>
      </c>
      <c r="K52" s="1">
        <f>77*10</f>
        <v>770</v>
      </c>
      <c r="L52" s="1">
        <v>19.2</v>
      </c>
      <c r="M52" s="1">
        <f>D52/1000</f>
        <v>-0.48160000000000003</v>
      </c>
      <c r="N52" s="1">
        <f t="shared" si="2"/>
        <v>231.93856000000002</v>
      </c>
      <c r="O52" s="1">
        <f>(N52*10^-6)/D_Calculation_electrode_area!$B$19</f>
        <v>1.8236776456375139E-2</v>
      </c>
      <c r="P52" s="4">
        <f t="shared" si="4"/>
        <v>1.6945718641981641E-8</v>
      </c>
      <c r="Q52" s="4">
        <f t="shared" si="1"/>
        <v>1.8250684400665027E-7</v>
      </c>
      <c r="R52" s="1">
        <f>(K52*10^-3/$W$3)*0.33</f>
        <v>2.6451501416784474E-3</v>
      </c>
      <c r="S52" s="1">
        <f>(J52*10^-3/$W$2)*0.941</f>
        <v>0</v>
      </c>
      <c r="T52" s="14">
        <f>R52+S52</f>
        <v>2.6451501416784474E-3</v>
      </c>
    </row>
    <row r="53" spans="1:20">
      <c r="A53" s="8" t="s">
        <v>71</v>
      </c>
      <c r="B53" s="48" t="s">
        <v>48</v>
      </c>
      <c r="C53" s="44">
        <v>9</v>
      </c>
      <c r="D53" s="1">
        <v>-242.5</v>
      </c>
      <c r="E53" s="1">
        <v>-211.5</v>
      </c>
      <c r="F53" s="1">
        <v>26.78</v>
      </c>
      <c r="G53" s="1">
        <v>5.54</v>
      </c>
      <c r="H53" s="1">
        <v>18.47</v>
      </c>
      <c r="I53" s="1">
        <v>8.2189999999999994</v>
      </c>
      <c r="J53" s="1">
        <v>0</v>
      </c>
      <c r="K53" s="1">
        <f>133*5</f>
        <v>665</v>
      </c>
      <c r="L53" s="1">
        <v>19.5</v>
      </c>
      <c r="M53" s="1">
        <f t="shared" si="0"/>
        <v>-0.24249999999999999</v>
      </c>
      <c r="N53" s="1">
        <f t="shared" si="2"/>
        <v>58.806249999999999</v>
      </c>
      <c r="O53" s="1">
        <f>(N53*10^-6)/D_Calculation_electrode_area!$B$19</f>
        <v>4.6237953511814095E-3</v>
      </c>
      <c r="P53" s="1">
        <f t="shared" si="4"/>
        <v>2.4157945175055217E-8</v>
      </c>
      <c r="Q53" s="4">
        <f t="shared" si="1"/>
        <v>1.7313149243096616E-7</v>
      </c>
      <c r="R53" s="1">
        <f>(K53*10^-3/$W$3)*0.33</f>
        <v>2.2844478496313863E-3</v>
      </c>
      <c r="S53" s="1">
        <f>(J53*10^-3/$W$2)*0.941</f>
        <v>0</v>
      </c>
      <c r="T53" s="14">
        <f>R53+S53</f>
        <v>2.2844478496313863E-3</v>
      </c>
    </row>
    <row r="54" spans="1:20">
      <c r="A54" s="8" t="s">
        <v>72</v>
      </c>
      <c r="B54" s="48" t="s">
        <v>48</v>
      </c>
      <c r="C54" s="44">
        <v>9</v>
      </c>
      <c r="D54" s="1">
        <v>-302.2</v>
      </c>
      <c r="E54" s="1">
        <v>-221.7</v>
      </c>
      <c r="F54" s="1">
        <v>80.2</v>
      </c>
      <c r="G54" s="1">
        <v>5.34</v>
      </c>
      <c r="H54" s="1">
        <v>18.059999999999999</v>
      </c>
      <c r="I54" s="1">
        <v>8.3930000000000007</v>
      </c>
      <c r="J54" s="1">
        <v>0</v>
      </c>
      <c r="K54" s="1">
        <f>125*5</f>
        <v>625</v>
      </c>
      <c r="L54" s="1">
        <v>19.5</v>
      </c>
      <c r="M54" s="1">
        <f t="shared" si="0"/>
        <v>-0.30219999999999997</v>
      </c>
      <c r="N54" s="1">
        <f t="shared" si="2"/>
        <v>91.32483999999998</v>
      </c>
      <c r="O54" s="1">
        <f>(N54*10^-6)/D_Calculation_electrode_area!$B$19</f>
        <v>7.1806546181636469E-3</v>
      </c>
      <c r="P54" s="4">
        <f t="shared" si="4"/>
        <v>1.6183035667897646E-8</v>
      </c>
      <c r="Q54" s="4">
        <f t="shared" si="1"/>
        <v>1.6688125804717675E-7</v>
      </c>
      <c r="R54" s="1">
        <f>(K54*10^-3/$W$3)*0.33</f>
        <v>2.1470374526610771E-3</v>
      </c>
      <c r="S54" s="1">
        <f>(J54*10^-3/$W$2)*0.941</f>
        <v>0</v>
      </c>
      <c r="T54" s="14">
        <f>R54+S54</f>
        <v>2.1470374526610771E-3</v>
      </c>
    </row>
    <row r="55" spans="1:20">
      <c r="A55" s="8" t="s">
        <v>73</v>
      </c>
      <c r="B55" s="48" t="s">
        <v>48</v>
      </c>
      <c r="C55" s="44">
        <v>9</v>
      </c>
      <c r="D55" s="1">
        <v>-250.8</v>
      </c>
      <c r="E55" s="1">
        <v>-381.6</v>
      </c>
      <c r="F55" s="1">
        <v>-130.9</v>
      </c>
      <c r="G55" s="1">
        <v>5.36</v>
      </c>
      <c r="H55" s="1">
        <v>18.690000000000001</v>
      </c>
      <c r="I55" s="1">
        <v>8.4209999999999994</v>
      </c>
      <c r="J55" s="1">
        <v>0</v>
      </c>
      <c r="K55" s="1">
        <f>62.9*10</f>
        <v>629</v>
      </c>
      <c r="L55" s="1">
        <v>19.7</v>
      </c>
      <c r="M55" s="1">
        <f t="shared" si="0"/>
        <v>-0.25080000000000002</v>
      </c>
      <c r="N55" s="1">
        <f t="shared" si="2"/>
        <v>62.90064000000001</v>
      </c>
      <c r="O55" s="1">
        <f>(N55*10^-6)/D_Calculation_electrode_area!$B$19</f>
        <v>4.9457274833599393E-3</v>
      </c>
      <c r="P55" s="1">
        <f t="shared" si="4"/>
        <v>1.5172599398947245E-8</v>
      </c>
      <c r="Q55" s="4">
        <f t="shared" si="1"/>
        <v>1.6750628148555571E-7</v>
      </c>
      <c r="R55" s="1">
        <f>(K55*10^-3/$W$3)*0.33</f>
        <v>2.1607784923581082E-3</v>
      </c>
      <c r="S55" s="1">
        <f>(J55*10^-3/$W$2)*0.941</f>
        <v>0</v>
      </c>
      <c r="T55" s="14">
        <f>R55+S55</f>
        <v>2.1607784923581082E-3</v>
      </c>
    </row>
    <row r="56" spans="1:20">
      <c r="A56" s="8" t="s">
        <v>74</v>
      </c>
      <c r="B56" s="48" t="s">
        <v>48</v>
      </c>
      <c r="C56" s="44">
        <v>9</v>
      </c>
      <c r="D56" s="1">
        <v>-747</v>
      </c>
      <c r="E56" s="1">
        <v>-463.7</v>
      </c>
      <c r="F56" s="1">
        <v>283.8</v>
      </c>
      <c r="G56" s="1">
        <v>6.08</v>
      </c>
      <c r="H56" s="1">
        <v>18.88</v>
      </c>
      <c r="I56" s="1">
        <v>8.3659999999999997</v>
      </c>
      <c r="J56" s="1">
        <v>0</v>
      </c>
      <c r="K56" s="1">
        <f>58.1*10</f>
        <v>581</v>
      </c>
      <c r="L56" s="1">
        <v>19.5</v>
      </c>
      <c r="M56" s="1">
        <f t="shared" si="0"/>
        <v>-0.747</v>
      </c>
      <c r="N56" s="1">
        <f t="shared" si="2"/>
        <v>558.00900000000001</v>
      </c>
      <c r="O56" s="1">
        <f>(N56*10^-6)/D_Calculation_electrode_area!$B$19</f>
        <v>4.3874918399275369E-2</v>
      </c>
      <c r="P56" s="4">
        <f t="shared" si="4"/>
        <v>1.7221064419668383E-8</v>
      </c>
      <c r="Q56" s="4">
        <f t="shared" si="1"/>
        <v>1.9000712526719751E-7</v>
      </c>
      <c r="R56" s="1">
        <f>(K56*10^-3/$W$3)*0.33</f>
        <v>1.9958860159937373E-3</v>
      </c>
      <c r="S56" s="1">
        <f>(J56*10^-3/$W$2)*0.941</f>
        <v>0</v>
      </c>
      <c r="T56" s="14">
        <f>R56+S56</f>
        <v>1.9958860159937373E-3</v>
      </c>
    </row>
    <row r="57" spans="1:20">
      <c r="A57" s="8" t="s">
        <v>75</v>
      </c>
      <c r="B57" s="48" t="s">
        <v>48</v>
      </c>
      <c r="C57" s="44">
        <v>9</v>
      </c>
      <c r="D57" s="1">
        <v>-749</v>
      </c>
      <c r="E57" s="1">
        <v>-464.8</v>
      </c>
      <c r="F57" s="1">
        <v>282.7</v>
      </c>
      <c r="G57" s="1">
        <v>5.61</v>
      </c>
      <c r="H57" s="1">
        <v>18.850000000000001</v>
      </c>
      <c r="I57" s="1">
        <v>8.3160000000000007</v>
      </c>
      <c r="J57" s="1">
        <v>0</v>
      </c>
      <c r="K57" s="1">
        <f>65.3*10</f>
        <v>653</v>
      </c>
      <c r="L57" s="1">
        <v>19.7</v>
      </c>
      <c r="M57" s="1">
        <f t="shared" si="0"/>
        <v>-0.749</v>
      </c>
      <c r="N57" s="1">
        <f t="shared" si="2"/>
        <v>561.00099999999998</v>
      </c>
      <c r="O57" s="1">
        <f>(N57*10^-6)/D_Calculation_electrode_area!$B$19</f>
        <v>4.4110172231831175E-2</v>
      </c>
      <c r="P57" s="1">
        <f t="shared" si="4"/>
        <v>1.9322352081590851E-8</v>
      </c>
      <c r="Q57" s="4">
        <f t="shared" si="1"/>
        <v>1.7531907446529244E-7</v>
      </c>
      <c r="R57" s="1">
        <f>(K57*10^-3/$W$3)*0.33</f>
        <v>2.2432247305402934E-3</v>
      </c>
      <c r="S57" s="1">
        <f>(J57*10^-3/$W$2)*0.941</f>
        <v>0</v>
      </c>
      <c r="T57" s="14">
        <f>R57+S57</f>
        <v>2.2432247305402934E-3</v>
      </c>
    </row>
    <row r="58" spans="1:20">
      <c r="A58" s="8" t="s">
        <v>76</v>
      </c>
      <c r="B58" s="48" t="s">
        <v>48</v>
      </c>
      <c r="C58" s="44">
        <v>9</v>
      </c>
      <c r="D58" s="1">
        <v>-733</v>
      </c>
      <c r="E58" s="1">
        <v>-461.9</v>
      </c>
      <c r="F58" s="1">
        <v>272.2</v>
      </c>
      <c r="G58" s="1">
        <v>5.08</v>
      </c>
      <c r="H58" s="1">
        <v>18.95</v>
      </c>
      <c r="I58" s="1">
        <v>8.3309999999999995</v>
      </c>
      <c r="J58" s="1">
        <v>0</v>
      </c>
      <c r="K58" s="1">
        <f>55.5*10</f>
        <v>555</v>
      </c>
      <c r="L58" s="1">
        <v>19.7</v>
      </c>
      <c r="M58" s="1">
        <f t="shared" si="0"/>
        <v>-0.73299999999999998</v>
      </c>
      <c r="N58" s="1">
        <f t="shared" si="2"/>
        <v>537.28899999999999</v>
      </c>
      <c r="O58" s="1">
        <f>(N58*10^-6)/D_Calculation_electrode_area!$B$19</f>
        <v>4.2245754157779286E-2</v>
      </c>
      <c r="P58" s="4">
        <f t="shared" si="4"/>
        <v>1.8666375212571557E-8</v>
      </c>
      <c r="Q58" s="4">
        <f t="shared" si="1"/>
        <v>1.5875595334825054E-7</v>
      </c>
      <c r="R58" s="1">
        <f>(K58*10^-3/$W$3)*0.33</f>
        <v>1.9065692579630369E-3</v>
      </c>
      <c r="S58" s="1">
        <f>(J58*10^-3/$W$2)*0.941</f>
        <v>0</v>
      </c>
      <c r="T58" s="14">
        <f>R58+S58</f>
        <v>1.9065692579630369E-3</v>
      </c>
    </row>
    <row r="59" spans="1:20">
      <c r="A59" s="8" t="s">
        <v>77</v>
      </c>
      <c r="B59" s="48" t="s">
        <v>48</v>
      </c>
      <c r="C59" s="44">
        <v>9</v>
      </c>
      <c r="D59" s="1"/>
      <c r="E59" s="1"/>
      <c r="F59" s="1"/>
      <c r="G59" s="1">
        <v>4.43</v>
      </c>
      <c r="H59" s="1">
        <v>18.809999999999999</v>
      </c>
      <c r="I59" s="1">
        <v>8.2959999999999994</v>
      </c>
      <c r="J59" s="1">
        <v>0</v>
      </c>
      <c r="K59" s="1">
        <f>62.1*10</f>
        <v>621</v>
      </c>
      <c r="L59" s="1">
        <v>19.7</v>
      </c>
      <c r="M59" s="1"/>
      <c r="N59" s="1"/>
      <c r="O59" s="1"/>
      <c r="P59" s="1">
        <f t="shared" si="4"/>
        <v>2.0232986480124571E-8</v>
      </c>
      <c r="Q59" s="4">
        <f t="shared" si="1"/>
        <v>1.3844269160093502E-7</v>
      </c>
      <c r="R59" s="1">
        <f>(K59*10^-3/$W$3)*0.33</f>
        <v>2.1332964129640464E-3</v>
      </c>
      <c r="S59" s="1">
        <f>(J59*10^-3/$W$2)*0.941</f>
        <v>0</v>
      </c>
      <c r="T59" s="14">
        <f>R59+S59</f>
        <v>2.1332964129640464E-3</v>
      </c>
    </row>
    <row r="60" spans="1:20">
      <c r="A60" s="18" t="s">
        <v>78</v>
      </c>
      <c r="B60" s="48" t="s">
        <v>48</v>
      </c>
      <c r="C60" s="44">
        <v>9</v>
      </c>
      <c r="D60" s="1"/>
      <c r="E60" s="1"/>
      <c r="F60" s="1"/>
      <c r="G60" s="1">
        <v>5.57</v>
      </c>
      <c r="H60" s="1">
        <v>18.59</v>
      </c>
      <c r="I60" s="1">
        <v>8.3480000000000008</v>
      </c>
      <c r="J60" s="1">
        <v>0</v>
      </c>
      <c r="K60" s="1">
        <f>52.7*10</f>
        <v>527</v>
      </c>
      <c r="L60" s="1">
        <v>19.7</v>
      </c>
      <c r="M60" s="1"/>
      <c r="N60" s="1"/>
      <c r="O60" s="1"/>
      <c r="P60" s="4">
        <f t="shared" si="4"/>
        <v>1.7949815597325212E-8</v>
      </c>
      <c r="Q60" s="4">
        <f t="shared" si="1"/>
        <v>1.7406902758853457E-7</v>
      </c>
      <c r="R60" s="1">
        <f>(K60*10^-3/$W$3)*0.33</f>
        <v>1.8103819800838203E-3</v>
      </c>
      <c r="S60" s="1">
        <f>(J60*10^-3/$W$2)*0.941</f>
        <v>0</v>
      </c>
      <c r="T60" s="14">
        <f>R60+S60</f>
        <v>1.8103819800838203E-3</v>
      </c>
    </row>
    <row r="61" spans="1:20">
      <c r="A61" s="18" t="s">
        <v>79</v>
      </c>
      <c r="B61" s="50" t="s">
        <v>48</v>
      </c>
      <c r="C61" s="66">
        <v>9</v>
      </c>
      <c r="D61" s="2"/>
      <c r="E61" s="2"/>
      <c r="F61" s="2"/>
      <c r="G61" s="2">
        <v>5.84</v>
      </c>
      <c r="H61" s="2">
        <v>19.02</v>
      </c>
      <c r="I61" s="2">
        <v>8.2910000000000004</v>
      </c>
      <c r="J61" s="2">
        <v>0</v>
      </c>
      <c r="K61" s="2">
        <f>72.3*10</f>
        <v>723</v>
      </c>
      <c r="L61" s="2">
        <v>19.7</v>
      </c>
      <c r="M61" s="2"/>
      <c r="N61" s="2"/>
      <c r="O61" s="2"/>
      <c r="P61" s="1">
        <f t="shared" si="4"/>
        <v>2.0467273421612243E-8</v>
      </c>
      <c r="Q61" s="113">
        <f t="shared" si="1"/>
        <v>1.8250684400665027E-7</v>
      </c>
      <c r="R61" s="2">
        <f>(K61*10^-3/$W$3)*0.33</f>
        <v>2.4836929252383339E-3</v>
      </c>
      <c r="S61" s="2">
        <f>(J61*10^-3/$W$2)*0.941</f>
        <v>0</v>
      </c>
      <c r="T61" s="16">
        <f>R61+S61</f>
        <v>2.4836929252383339E-3</v>
      </c>
    </row>
    <row r="62" spans="1:20">
      <c r="A62" s="37" t="s">
        <v>68</v>
      </c>
      <c r="B62" s="51" t="s">
        <v>49</v>
      </c>
      <c r="C62" s="67">
        <v>11</v>
      </c>
      <c r="D62" s="12">
        <v>-449</v>
      </c>
      <c r="E62" s="12">
        <v>-351.5</v>
      </c>
      <c r="F62" s="12">
        <v>110.5</v>
      </c>
      <c r="G62" s="12">
        <v>4.84</v>
      </c>
      <c r="H62" s="12">
        <v>18.760000000000002</v>
      </c>
      <c r="I62" s="12">
        <v>8.407</v>
      </c>
      <c r="J62" s="12"/>
      <c r="K62" s="12"/>
      <c r="L62" s="12">
        <v>19.600000000000001</v>
      </c>
      <c r="M62" s="12">
        <f>D62/1000</f>
        <v>-0.44900000000000001</v>
      </c>
      <c r="N62" s="12">
        <f t="shared" si="2"/>
        <v>201.601</v>
      </c>
      <c r="O62" s="12">
        <f>(N62*10^-6)/D_Calculation_electrode_area!$B$19</f>
        <v>1.585140638271482E-2</v>
      </c>
      <c r="P62" s="12">
        <f t="shared" si="4"/>
        <v>1.566967508431128E-8</v>
      </c>
      <c r="Q62" s="4">
        <f t="shared" si="1"/>
        <v>1.5125567208770326E-7</v>
      </c>
      <c r="R62" s="12">
        <f>(K62*10^-3/$W$3)*0.33</f>
        <v>0</v>
      </c>
      <c r="S62" s="12">
        <f>(J62*10^-3/$W$2)*0.941</f>
        <v>0</v>
      </c>
      <c r="T62" s="36">
        <f>R62+S62</f>
        <v>0</v>
      </c>
    </row>
    <row r="63" spans="1:20">
      <c r="A63" s="8" t="s">
        <v>69</v>
      </c>
      <c r="B63" s="48" t="s">
        <v>49</v>
      </c>
      <c r="C63" s="44">
        <v>11</v>
      </c>
      <c r="D63" s="1">
        <v>-366.5</v>
      </c>
      <c r="E63" s="1">
        <v>-204.6</v>
      </c>
      <c r="F63" s="1">
        <v>165</v>
      </c>
      <c r="G63" s="1">
        <v>4.1900000000000004</v>
      </c>
      <c r="H63" s="1">
        <v>18.09</v>
      </c>
      <c r="I63" s="1">
        <v>8.3309999999999995</v>
      </c>
      <c r="J63" s="1"/>
      <c r="K63" s="1"/>
      <c r="L63" s="1">
        <v>19.600000000000001</v>
      </c>
      <c r="M63" s="1">
        <f t="shared" si="0"/>
        <v>-0.36649999999999999</v>
      </c>
      <c r="N63" s="1">
        <f t="shared" si="2"/>
        <v>134.32225</v>
      </c>
      <c r="O63" s="1">
        <f>(N63*10^-6)/D_Calculation_electrode_area!$B$19</f>
        <v>1.0561438539444822E-2</v>
      </c>
      <c r="P63" s="1">
        <f t="shared" si="4"/>
        <v>1.8666375212571557E-8</v>
      </c>
      <c r="Q63" s="4">
        <f t="shared" si="1"/>
        <v>1.3094241034038777E-7</v>
      </c>
      <c r="R63" s="1">
        <f>(K63*10^-3/$W$3)*0.33</f>
        <v>0</v>
      </c>
      <c r="S63" s="1">
        <f>(J63*10^-3/$W$2)*0.941</f>
        <v>0</v>
      </c>
      <c r="T63" s="14">
        <f>R63+S63</f>
        <v>0</v>
      </c>
    </row>
    <row r="64" spans="1:20">
      <c r="A64" s="8" t="s">
        <v>70</v>
      </c>
      <c r="B64" s="48" t="s">
        <v>49</v>
      </c>
      <c r="C64" s="44">
        <v>11</v>
      </c>
      <c r="D64" s="1">
        <v>-490.9</v>
      </c>
      <c r="E64" s="1">
        <v>-269.89999999999998</v>
      </c>
      <c r="F64" s="1">
        <v>221.8</v>
      </c>
      <c r="G64" s="1">
        <v>5.45</v>
      </c>
      <c r="H64" s="1">
        <v>18.29</v>
      </c>
      <c r="I64" s="1">
        <v>8.3940000000000001</v>
      </c>
      <c r="J64" s="1"/>
      <c r="K64" s="1"/>
      <c r="L64" s="1">
        <v>19.600000000000001</v>
      </c>
      <c r="M64" s="1">
        <f>D64/1000</f>
        <v>-0.4909</v>
      </c>
      <c r="N64" s="1">
        <f t="shared" si="2"/>
        <v>240.98281</v>
      </c>
      <c r="O64" s="1">
        <f>(N64*10^-6)/D_Calculation_electrode_area!$B$19</f>
        <v>1.8947904288959642E-2</v>
      </c>
      <c r="P64" s="1">
        <f t="shared" si="4"/>
        <v>1.6145815718704185E-8</v>
      </c>
      <c r="Q64" s="4">
        <f t="shared" si="1"/>
        <v>1.7031888695826096E-7</v>
      </c>
      <c r="R64" s="1">
        <f>(K64*10^-3/$W$3)*0.33</f>
        <v>0</v>
      </c>
      <c r="S64" s="1">
        <f>(J64*10^-3/$W$2)*0.941</f>
        <v>0</v>
      </c>
      <c r="T64" s="14">
        <f>R64+S64</f>
        <v>0</v>
      </c>
    </row>
    <row r="65" spans="1:20">
      <c r="A65" s="8" t="s">
        <v>71</v>
      </c>
      <c r="B65" s="48" t="s">
        <v>49</v>
      </c>
      <c r="C65" s="44">
        <v>11</v>
      </c>
      <c r="D65" s="1">
        <v>-277.10000000000002</v>
      </c>
      <c r="E65" s="1">
        <v>-221.1</v>
      </c>
      <c r="F65" s="1">
        <v>42.78</v>
      </c>
      <c r="G65" s="1">
        <v>4.67</v>
      </c>
      <c r="H65" s="1">
        <v>18.47</v>
      </c>
      <c r="I65" s="1">
        <v>8.1549999999999994</v>
      </c>
      <c r="J65" s="1"/>
      <c r="K65" s="1"/>
      <c r="L65" s="1">
        <v>19.7</v>
      </c>
      <c r="M65" s="1">
        <f t="shared" si="0"/>
        <v>-0.27710000000000001</v>
      </c>
      <c r="N65" s="1">
        <f t="shared" si="2"/>
        <v>76.784410000000008</v>
      </c>
      <c r="O65" s="1">
        <f>(N65*10^-6)/D_Calculation_electrode_area!$B$19</f>
        <v>6.0373752449987437E-3</v>
      </c>
      <c r="P65" s="1">
        <f t="shared" si="4"/>
        <v>2.7993679840090936E-8</v>
      </c>
      <c r="Q65" s="4">
        <f t="shared" si="1"/>
        <v>1.459429728614823E-7</v>
      </c>
      <c r="R65" s="1">
        <f>(K65*10^-3/$W$3)*0.33</f>
        <v>0</v>
      </c>
      <c r="S65" s="1">
        <f>(J65*10^-3/$W$2)*0.941</f>
        <v>0</v>
      </c>
      <c r="T65" s="14">
        <f>R65+S65</f>
        <v>0</v>
      </c>
    </row>
    <row r="66" spans="1:20">
      <c r="A66" s="8" t="s">
        <v>72</v>
      </c>
      <c r="B66" s="48" t="s">
        <v>49</v>
      </c>
      <c r="C66" s="44">
        <v>11</v>
      </c>
      <c r="D66" s="1">
        <v>-317.5</v>
      </c>
      <c r="E66" s="1">
        <v>-271.89999999999998</v>
      </c>
      <c r="F66" s="1">
        <v>62.1</v>
      </c>
      <c r="G66" s="1">
        <v>4.68</v>
      </c>
      <c r="H66" s="1">
        <v>18.059999999999999</v>
      </c>
      <c r="I66" s="1">
        <v>8.23</v>
      </c>
      <c r="J66" s="1"/>
      <c r="K66" s="1"/>
      <c r="L66" s="1">
        <v>19.8</v>
      </c>
      <c r="M66" s="1">
        <f t="shared" si="0"/>
        <v>-0.3175</v>
      </c>
      <c r="N66" s="1">
        <f t="shared" si="2"/>
        <v>100.80625000000001</v>
      </c>
      <c r="O66" s="1">
        <f>(N66*10^-6)/D_Calculation_electrode_area!$B$19</f>
        <v>7.9261553001599497E-3</v>
      </c>
      <c r="P66" s="1">
        <f t="shared" si="4"/>
        <v>2.3553746214223485E-8</v>
      </c>
      <c r="Q66" s="4">
        <f t="shared" si="1"/>
        <v>1.4625548458067175E-7</v>
      </c>
      <c r="R66" s="1">
        <f>(K66*10^-3/$W$3)*0.33</f>
        <v>0</v>
      </c>
      <c r="S66" s="1">
        <f>(J66*10^-3/$W$2)*0.941</f>
        <v>0</v>
      </c>
      <c r="T66" s="14">
        <f>R66+S66</f>
        <v>0</v>
      </c>
    </row>
    <row r="67" spans="1:20">
      <c r="A67" s="8" t="s">
        <v>73</v>
      </c>
      <c r="B67" s="48" t="s">
        <v>49</v>
      </c>
      <c r="C67" s="44">
        <v>11</v>
      </c>
      <c r="D67" s="1">
        <v>-286.3</v>
      </c>
      <c r="E67" s="1">
        <v>-349.9</v>
      </c>
      <c r="F67" s="1">
        <v>-57.81</v>
      </c>
      <c r="G67" s="1">
        <v>5.18</v>
      </c>
      <c r="H67" s="1">
        <v>18.66</v>
      </c>
      <c r="I67" s="1">
        <v>8.3059999999999992</v>
      </c>
      <c r="J67" s="1"/>
      <c r="K67" s="1"/>
      <c r="L67" s="1">
        <v>19.8</v>
      </c>
      <c r="M67" s="1">
        <f t="shared" ref="M67:M73" si="5">D67/1000</f>
        <v>-0.2863</v>
      </c>
      <c r="N67" s="1">
        <f t="shared" ref="N67:N77" si="6">M67*D67</f>
        <v>81.967690000000005</v>
      </c>
      <c r="O67" s="1">
        <f>(N67*10^-6)/D_Calculation_electrode_area!$B$19</f>
        <v>6.4449242039592552E-3</v>
      </c>
      <c r="P67" s="1">
        <f t="shared" si="4"/>
        <v>1.9772427479473426E-8</v>
      </c>
      <c r="Q67" s="4">
        <f t="shared" ref="Q67:Q130" si="7">(G67*10^-6)/31.9988</f>
        <v>1.6188107054014524E-7</v>
      </c>
      <c r="R67" s="1">
        <f>(K67*10^-3/$W$3)*0.33</f>
        <v>0</v>
      </c>
      <c r="S67" s="1">
        <f>(J67*10^-3/$W$2)*0.941</f>
        <v>0</v>
      </c>
      <c r="T67" s="14">
        <f>R67+S67</f>
        <v>0</v>
      </c>
    </row>
    <row r="68" spans="1:20">
      <c r="A68" s="8" t="s">
        <v>74</v>
      </c>
      <c r="B68" s="48" t="s">
        <v>49</v>
      </c>
      <c r="C68" s="44">
        <v>11</v>
      </c>
      <c r="D68" s="1">
        <v>-766</v>
      </c>
      <c r="E68" s="1">
        <v>-474.1</v>
      </c>
      <c r="F68" s="1">
        <v>289.3</v>
      </c>
      <c r="G68" s="1">
        <v>5.65</v>
      </c>
      <c r="H68" s="1">
        <v>18.89</v>
      </c>
      <c r="I68" s="1">
        <v>8.3350000000000009</v>
      </c>
      <c r="J68" s="1"/>
      <c r="K68" s="1"/>
      <c r="L68" s="1">
        <v>19.8</v>
      </c>
      <c r="M68" s="1">
        <f t="shared" si="5"/>
        <v>-0.76600000000000001</v>
      </c>
      <c r="N68" s="1">
        <f t="shared" si="6"/>
        <v>586.75599999999997</v>
      </c>
      <c r="O68" s="1">
        <f>(N68*10^-6)/D_Calculation_electrode_area!$B$19</f>
        <v>4.613522652911551E-2</v>
      </c>
      <c r="P68" s="1">
        <f t="shared" si="4"/>
        <v>1.8495240855970374E-8</v>
      </c>
      <c r="Q68" s="4">
        <f t="shared" si="7"/>
        <v>1.7656912134205034E-7</v>
      </c>
      <c r="R68" s="1">
        <f>(K68*10^-3/$W$3)*0.33</f>
        <v>0</v>
      </c>
      <c r="S68" s="1">
        <f>(J68*10^-3/$W$2)*0.941</f>
        <v>0</v>
      </c>
      <c r="T68" s="14">
        <f>R68+S68</f>
        <v>0</v>
      </c>
    </row>
    <row r="69" spans="1:20">
      <c r="A69" s="8" t="s">
        <v>75</v>
      </c>
      <c r="B69" s="48" t="s">
        <v>49</v>
      </c>
      <c r="C69" s="44">
        <v>11</v>
      </c>
      <c r="D69" s="1">
        <v>-749</v>
      </c>
      <c r="E69" s="1">
        <v>-463</v>
      </c>
      <c r="F69" s="1">
        <v>288.10000000000002</v>
      </c>
      <c r="G69" s="1">
        <v>5.3</v>
      </c>
      <c r="H69" s="1">
        <v>18.86</v>
      </c>
      <c r="I69" s="1">
        <v>8.2650000000000006</v>
      </c>
      <c r="J69" s="1"/>
      <c r="K69" s="1"/>
      <c r="L69" s="1">
        <v>19.899999999999999</v>
      </c>
      <c r="M69" s="1">
        <f t="shared" si="5"/>
        <v>-0.749</v>
      </c>
      <c r="N69" s="1">
        <f t="shared" si="6"/>
        <v>561.00099999999998</v>
      </c>
      <c r="O69" s="1">
        <f>(N69*10^-6)/D_Calculation_electrode_area!$B$19</f>
        <v>4.4110172231831175E-2</v>
      </c>
      <c r="P69" s="1">
        <f t="shared" si="4"/>
        <v>2.1730013259697268E-8</v>
      </c>
      <c r="Q69" s="4">
        <f t="shared" si="7"/>
        <v>1.6563121117041888E-7</v>
      </c>
      <c r="R69" s="1">
        <f>(K69*10^-3/$W$3)*0.33</f>
        <v>0</v>
      </c>
      <c r="S69" s="1">
        <f>(J69*10^-3/$W$2)*0.941</f>
        <v>0</v>
      </c>
      <c r="T69" s="14">
        <f>R69+S69</f>
        <v>0</v>
      </c>
    </row>
    <row r="70" spans="1:20">
      <c r="A70" s="8" t="s">
        <v>76</v>
      </c>
      <c r="B70" s="48" t="s">
        <v>49</v>
      </c>
      <c r="C70" s="44">
        <v>11</v>
      </c>
      <c r="D70" s="1">
        <v>-732</v>
      </c>
      <c r="E70" s="1">
        <v>-461.1</v>
      </c>
      <c r="F70" s="1">
        <v>270.60000000000002</v>
      </c>
      <c r="G70" s="1">
        <v>4.8499999999999996</v>
      </c>
      <c r="H70" s="1">
        <v>18.899999999999999</v>
      </c>
      <c r="I70" s="1">
        <v>8.3119999999999994</v>
      </c>
      <c r="J70" s="1"/>
      <c r="K70" s="1"/>
      <c r="L70" s="1">
        <v>19.7</v>
      </c>
      <c r="M70" s="1">
        <f t="shared" si="5"/>
        <v>-0.73199999999999998</v>
      </c>
      <c r="N70" s="1">
        <f t="shared" si="6"/>
        <v>535.82399999999996</v>
      </c>
      <c r="O70" s="1">
        <f>(N70*10^-6)/D_Calculation_electrode_area!$B$19</f>
        <v>4.2130564697654208E-2</v>
      </c>
      <c r="P70" s="1">
        <f t="shared" si="4"/>
        <v>1.9501139604135448E-8</v>
      </c>
      <c r="Q70" s="4">
        <f t="shared" si="7"/>
        <v>1.5156818380689274E-7</v>
      </c>
      <c r="R70" s="1">
        <f>(K70*10^-3/$W$3)*0.33</f>
        <v>0</v>
      </c>
      <c r="S70" s="1">
        <f>(J70*10^-3/$W$2)*0.941</f>
        <v>0</v>
      </c>
      <c r="T70" s="14">
        <f>R70+S70</f>
        <v>0</v>
      </c>
    </row>
    <row r="71" spans="1:20">
      <c r="A71" s="8" t="s">
        <v>77</v>
      </c>
      <c r="B71" s="48" t="s">
        <v>49</v>
      </c>
      <c r="C71" s="44">
        <v>11</v>
      </c>
      <c r="D71" s="79"/>
      <c r="E71" s="79"/>
      <c r="F71" s="79"/>
      <c r="G71" s="1">
        <v>4.6900000000000004</v>
      </c>
      <c r="H71" s="1">
        <v>18.77</v>
      </c>
      <c r="I71" s="1">
        <v>8.4339999999999993</v>
      </c>
      <c r="J71" s="1"/>
      <c r="K71" s="1"/>
      <c r="L71" s="1">
        <v>20</v>
      </c>
      <c r="M71" s="1"/>
      <c r="N71" s="1"/>
      <c r="O71" s="1"/>
      <c r="P71" s="1">
        <f t="shared" si="4"/>
        <v>1.472515894570125E-8</v>
      </c>
      <c r="Q71" s="4">
        <f t="shared" si="7"/>
        <v>1.4656799629986124E-7</v>
      </c>
      <c r="R71" s="1">
        <f>(K71*10^-3/$W$3)*0.33</f>
        <v>0</v>
      </c>
      <c r="S71" s="1">
        <f>(J71*10^-3/$W$2)*0.941</f>
        <v>0</v>
      </c>
      <c r="T71" s="14">
        <f>R71+S71</f>
        <v>0</v>
      </c>
    </row>
    <row r="72" spans="1:20">
      <c r="A72" s="18" t="s">
        <v>78</v>
      </c>
      <c r="B72" s="48" t="s">
        <v>49</v>
      </c>
      <c r="C72" s="44">
        <v>11</v>
      </c>
      <c r="D72" s="79"/>
      <c r="E72" s="79"/>
      <c r="F72" s="79"/>
      <c r="G72" s="1">
        <v>4.6500000000000004</v>
      </c>
      <c r="H72" s="1">
        <v>18.55</v>
      </c>
      <c r="I72" s="1">
        <v>8.2829999999999995</v>
      </c>
      <c r="J72" s="1"/>
      <c r="K72" s="1"/>
      <c r="L72" s="1">
        <v>20</v>
      </c>
      <c r="M72" s="1"/>
      <c r="N72" s="1"/>
      <c r="O72" s="1"/>
      <c r="P72" s="1">
        <f t="shared" si="4"/>
        <v>2.0847788444203193E-8</v>
      </c>
      <c r="Q72" s="4">
        <f t="shared" si="7"/>
        <v>1.4531794942310339E-7</v>
      </c>
      <c r="R72" s="1">
        <f>(K72*10^-3/$W$3)*0.33</f>
        <v>0</v>
      </c>
      <c r="S72" s="1">
        <f>(J72*10^-3/$W$2)*0.941</f>
        <v>0</v>
      </c>
      <c r="T72" s="14">
        <f>R72+S72</f>
        <v>0</v>
      </c>
    </row>
    <row r="73" spans="1:20">
      <c r="A73" s="9" t="s">
        <v>79</v>
      </c>
      <c r="B73" s="49" t="s">
        <v>49</v>
      </c>
      <c r="C73" s="68">
        <v>11</v>
      </c>
      <c r="D73" s="90"/>
      <c r="E73" s="90"/>
      <c r="F73" s="90"/>
      <c r="G73" s="3">
        <v>5.34</v>
      </c>
      <c r="H73" s="3">
        <v>18.98</v>
      </c>
      <c r="I73" s="3">
        <v>8.2409999999999997</v>
      </c>
      <c r="J73" s="3"/>
      <c r="K73" s="3"/>
      <c r="L73" s="3">
        <v>20</v>
      </c>
      <c r="M73" s="3"/>
      <c r="N73" s="3"/>
      <c r="O73" s="3"/>
      <c r="P73" s="3">
        <f t="shared" si="4"/>
        <v>2.2964658488293101E-8</v>
      </c>
      <c r="Q73" s="113">
        <f t="shared" si="7"/>
        <v>1.6688125804717675E-7</v>
      </c>
      <c r="R73" s="3">
        <f>(K73*10^-3/$W$3)*0.33</f>
        <v>0</v>
      </c>
      <c r="S73" s="3">
        <f>(J73*10^-3/$W$2)*0.941</f>
        <v>0</v>
      </c>
      <c r="T73" s="15">
        <f>R73+S73</f>
        <v>0</v>
      </c>
    </row>
    <row r="74" spans="1:20">
      <c r="A74" s="17" t="s">
        <v>68</v>
      </c>
      <c r="B74" s="47" t="s">
        <v>50</v>
      </c>
      <c r="C74" s="70">
        <v>14</v>
      </c>
      <c r="D74" s="4">
        <v>-441</v>
      </c>
      <c r="E74" s="4">
        <v>-338.8</v>
      </c>
      <c r="F74" s="4">
        <v>110.3</v>
      </c>
      <c r="G74" s="4">
        <v>4.82</v>
      </c>
      <c r="H74" s="4">
        <v>18.82</v>
      </c>
      <c r="I74" s="4">
        <v>8.2550000000000008</v>
      </c>
      <c r="J74" s="4"/>
      <c r="K74" s="4"/>
      <c r="L74" s="4">
        <v>19.5</v>
      </c>
      <c r="M74" s="4">
        <f>D74/1000</f>
        <v>-0.441</v>
      </c>
      <c r="N74" s="4">
        <f t="shared" si="6"/>
        <v>194.48099999999999</v>
      </c>
      <c r="O74" s="4">
        <f>(N74*10^-6)/D_Calculation_electrode_area!$B$19</f>
        <v>1.5291577743745123E-2</v>
      </c>
      <c r="P74" s="4">
        <f t="shared" si="4"/>
        <v>2.2236170290816079E-8</v>
      </c>
      <c r="Q74" s="4">
        <f t="shared" si="7"/>
        <v>1.5063064864932435E-7</v>
      </c>
      <c r="R74" s="4">
        <f>(K74*10^-3/$W$3)*0.33</f>
        <v>0</v>
      </c>
      <c r="S74" s="4">
        <f>(J74*10^-3/$W$2)*0.941</f>
        <v>0</v>
      </c>
      <c r="T74" s="19">
        <f>R74+S74</f>
        <v>0</v>
      </c>
    </row>
    <row r="75" spans="1:20">
      <c r="A75" s="8" t="s">
        <v>69</v>
      </c>
      <c r="B75" s="48" t="s">
        <v>50</v>
      </c>
      <c r="C75" s="44">
        <v>14</v>
      </c>
      <c r="D75" s="1">
        <v>-405.3</v>
      </c>
      <c r="E75" s="1">
        <v>-270.3</v>
      </c>
      <c r="F75" s="1">
        <v>141.5</v>
      </c>
      <c r="G75" s="1">
        <v>4.47</v>
      </c>
      <c r="H75" s="1">
        <v>18.14</v>
      </c>
      <c r="I75" s="1">
        <v>8.3260000000000005</v>
      </c>
      <c r="J75" s="1"/>
      <c r="K75" s="1"/>
      <c r="L75" s="1">
        <v>19.5</v>
      </c>
      <c r="M75" s="1">
        <f t="shared" ref="M75" si="8">D75/1000</f>
        <v>-0.40529999999999999</v>
      </c>
      <c r="N75" s="1">
        <f t="shared" si="6"/>
        <v>164.26809</v>
      </c>
      <c r="O75" s="1">
        <f>(N75*10^-6)/D_Calculation_electrode_area!$B$19</f>
        <v>1.2916008602647668E-2</v>
      </c>
      <c r="P75" s="1">
        <f t="shared" si="4"/>
        <v>1.8882521650543568E-8</v>
      </c>
      <c r="Q75" s="4">
        <f t="shared" si="7"/>
        <v>1.3969273847769289E-7</v>
      </c>
      <c r="R75" s="1">
        <f>(K75*10^-3/$W$3)*0.33</f>
        <v>0</v>
      </c>
      <c r="S75" s="1">
        <f>(J75*10^-3/$W$2)*0.941</f>
        <v>0</v>
      </c>
      <c r="T75" s="14">
        <f>R75+S75</f>
        <v>0</v>
      </c>
    </row>
    <row r="76" spans="1:20">
      <c r="A76" s="8" t="s">
        <v>70</v>
      </c>
      <c r="B76" s="48" t="s">
        <v>50</v>
      </c>
      <c r="C76" s="44">
        <v>14</v>
      </c>
      <c r="D76" s="1">
        <v>-453.8</v>
      </c>
      <c r="E76" s="1">
        <v>-280.5</v>
      </c>
      <c r="F76" s="1">
        <v>173.7</v>
      </c>
      <c r="G76" s="1">
        <v>5.46</v>
      </c>
      <c r="H76" s="1">
        <v>18.29</v>
      </c>
      <c r="I76" s="1">
        <v>8.5030000000000001</v>
      </c>
      <c r="J76" s="1"/>
      <c r="K76" s="1"/>
      <c r="L76" s="1">
        <v>19.3</v>
      </c>
      <c r="M76" s="1">
        <f>D76/1000</f>
        <v>-0.45380000000000004</v>
      </c>
      <c r="N76" s="1">
        <f t="shared" si="6"/>
        <v>205.93444000000002</v>
      </c>
      <c r="O76" s="1">
        <f>(N76*10^-6)/D_Calculation_electrode_area!$B$19</f>
        <v>1.6192134446936287E-2</v>
      </c>
      <c r="P76" s="4">
        <f t="shared" si="4"/>
        <v>1.2562034775504836E-8</v>
      </c>
      <c r="Q76" s="4">
        <f t="shared" si="7"/>
        <v>1.7063139867745039E-7</v>
      </c>
      <c r="R76" s="1">
        <f>(K76*10^-3/$W$3)*0.33</f>
        <v>0</v>
      </c>
      <c r="S76" s="1">
        <f>(J76*10^-3/$W$2)*0.941</f>
        <v>0</v>
      </c>
      <c r="T76" s="14">
        <f>R76+S76</f>
        <v>0</v>
      </c>
    </row>
    <row r="77" spans="1:20">
      <c r="A77" s="8" t="s">
        <v>71</v>
      </c>
      <c r="B77" s="48" t="s">
        <v>50</v>
      </c>
      <c r="C77" s="44">
        <v>14</v>
      </c>
      <c r="D77" s="1">
        <v>-280.10000000000002</v>
      </c>
      <c r="E77" s="1">
        <v>-197.1</v>
      </c>
      <c r="F77" s="1">
        <v>85.1</v>
      </c>
      <c r="G77" s="1">
        <v>5.33</v>
      </c>
      <c r="H77" s="1">
        <v>18.47</v>
      </c>
      <c r="I77" s="1">
        <v>8.2569999999999997</v>
      </c>
      <c r="J77" s="1"/>
      <c r="K77" s="1"/>
      <c r="L77" s="1">
        <v>19.5</v>
      </c>
      <c r="M77" s="1">
        <f t="shared" ref="M77:M85" si="9">D77/1000</f>
        <v>-0.28010000000000002</v>
      </c>
      <c r="N77" s="1">
        <f t="shared" si="6"/>
        <v>78.456010000000006</v>
      </c>
      <c r="O77" s="1">
        <f>(N77*10^-6)/D_Calculation_electrode_area!$B$19</f>
        <v>6.1688091709680894E-3</v>
      </c>
      <c r="P77" s="1">
        <f t="shared" si="4"/>
        <v>2.213400436862945E-8</v>
      </c>
      <c r="Q77" s="4">
        <f t="shared" si="7"/>
        <v>1.665687463279873E-7</v>
      </c>
      <c r="R77" s="1">
        <f>(K77*10^-3/$W$3)*0.33</f>
        <v>0</v>
      </c>
      <c r="S77" s="1">
        <f>(J77*10^-3/$W$2)*0.941</f>
        <v>0</v>
      </c>
      <c r="T77" s="14">
        <f>R77+S77</f>
        <v>0</v>
      </c>
    </row>
    <row r="78" spans="1:20">
      <c r="A78" s="8" t="s">
        <v>72</v>
      </c>
      <c r="B78" s="48" t="s">
        <v>50</v>
      </c>
      <c r="C78" s="44">
        <v>14</v>
      </c>
      <c r="D78" s="1">
        <v>-321</v>
      </c>
      <c r="E78" s="1">
        <v>-292.89999999999998</v>
      </c>
      <c r="F78" s="1">
        <v>36.01</v>
      </c>
      <c r="G78" s="1">
        <v>4.38</v>
      </c>
      <c r="H78" s="1">
        <v>18.059999999999999</v>
      </c>
      <c r="I78" s="1">
        <v>8.2040000000000006</v>
      </c>
      <c r="J78" s="1"/>
      <c r="K78" s="1"/>
      <c r="L78" s="1">
        <v>19.5</v>
      </c>
      <c r="M78" s="1">
        <f t="shared" si="9"/>
        <v>-0.32100000000000001</v>
      </c>
      <c r="N78" s="1">
        <f>M78*D78</f>
        <v>103.041</v>
      </c>
      <c r="O78" s="1">
        <f>(N78*10^-6)/D_Calculation_electrode_area!$B$19</f>
        <v>8.1018683691118486E-3</v>
      </c>
      <c r="P78" s="4">
        <f t="shared" si="4"/>
        <v>2.5006907711027365E-8</v>
      </c>
      <c r="Q78" s="4">
        <f t="shared" si="7"/>
        <v>1.3688013300498767E-7</v>
      </c>
      <c r="R78" s="1">
        <f>(K78*10^-3/$W$3)*0.33</f>
        <v>0</v>
      </c>
      <c r="S78" s="1">
        <f>(J78*10^-3/$W$2)*0.941</f>
        <v>0</v>
      </c>
      <c r="T78" s="14">
        <f>R78+S78</f>
        <v>0</v>
      </c>
    </row>
    <row r="79" spans="1:20">
      <c r="A79" s="8" t="s">
        <v>73</v>
      </c>
      <c r="B79" s="48" t="s">
        <v>50</v>
      </c>
      <c r="C79" s="44">
        <v>14</v>
      </c>
      <c r="D79" s="1">
        <v>-169.7</v>
      </c>
      <c r="E79" s="1">
        <v>82.3</v>
      </c>
      <c r="F79" s="1">
        <v>252.8</v>
      </c>
      <c r="G79" s="1">
        <v>4.55</v>
      </c>
      <c r="H79" s="1">
        <v>18.63</v>
      </c>
      <c r="I79" s="1">
        <v>8.1549999999999994</v>
      </c>
      <c r="J79" s="1"/>
      <c r="K79" s="1"/>
      <c r="L79" s="1">
        <v>19.600000000000001</v>
      </c>
      <c r="M79" s="1">
        <f t="shared" si="9"/>
        <v>-0.16969999999999999</v>
      </c>
      <c r="N79" s="1">
        <f t="shared" ref="N79:N85" si="10">M79*D79</f>
        <v>28.798089999999995</v>
      </c>
      <c r="O79" s="1">
        <f>(N79*10^-6)/D_Calculation_electrode_area!$B$19</f>
        <v>2.2643252148352227E-3</v>
      </c>
      <c r="P79" s="1">
        <f t="shared" si="4"/>
        <v>2.7993679840090936E-8</v>
      </c>
      <c r="Q79" s="4">
        <f t="shared" si="7"/>
        <v>1.4219283223120866E-7</v>
      </c>
      <c r="R79" s="1">
        <f>(K79*10^-3/$W$3)*0.33</f>
        <v>0</v>
      </c>
      <c r="S79" s="1">
        <f>(J79*10^-3/$W$2)*0.941</f>
        <v>0</v>
      </c>
      <c r="T79" s="14">
        <f>R79+S79</f>
        <v>0</v>
      </c>
    </row>
    <row r="80" spans="1:20">
      <c r="A80" s="8" t="s">
        <v>74</v>
      </c>
      <c r="B80" s="48" t="s">
        <v>50</v>
      </c>
      <c r="C80" s="44">
        <v>14</v>
      </c>
      <c r="D80" s="1">
        <v>-773</v>
      </c>
      <c r="E80" s="1">
        <v>-476</v>
      </c>
      <c r="F80" s="1">
        <v>297.60000000000002</v>
      </c>
      <c r="G80" s="1">
        <v>4.67</v>
      </c>
      <c r="H80" s="1">
        <v>18.850000000000001</v>
      </c>
      <c r="I80" s="1">
        <v>8.2129999999999992</v>
      </c>
      <c r="J80" s="1"/>
      <c r="K80" s="1"/>
      <c r="L80" s="1">
        <v>19.7</v>
      </c>
      <c r="M80" s="1">
        <f t="shared" si="9"/>
        <v>-0.77300000000000002</v>
      </c>
      <c r="N80" s="1">
        <f t="shared" si="10"/>
        <v>597.529</v>
      </c>
      <c r="O80" s="1">
        <f>(N80*10^-6)/D_Calculation_electrode_area!$B$19</f>
        <v>4.6982281856028513E-2</v>
      </c>
      <c r="P80" s="4">
        <f t="shared" ref="P80:P143" si="11">10^-I80*4</f>
        <v>2.4494015668990982E-8</v>
      </c>
      <c r="Q80" s="4">
        <f t="shared" si="7"/>
        <v>1.459429728614823E-7</v>
      </c>
      <c r="R80" s="1">
        <f>(K80*10^-3/$W$3)*0.33</f>
        <v>0</v>
      </c>
      <c r="S80" s="1">
        <f>(J80*10^-3/$W$2)*0.941</f>
        <v>0</v>
      </c>
      <c r="T80" s="14">
        <f>R80+S80</f>
        <v>0</v>
      </c>
    </row>
    <row r="81" spans="1:20">
      <c r="A81" s="8" t="s">
        <v>75</v>
      </c>
      <c r="B81" s="48" t="s">
        <v>50</v>
      </c>
      <c r="C81" s="44">
        <v>14</v>
      </c>
      <c r="D81" s="1">
        <v>-757</v>
      </c>
      <c r="E81" s="1">
        <v>-471.6</v>
      </c>
      <c r="F81" s="1">
        <v>300</v>
      </c>
      <c r="G81" s="1">
        <v>4.16</v>
      </c>
      <c r="H81" s="1">
        <v>18.850000000000001</v>
      </c>
      <c r="I81" s="1">
        <v>8.1620000000000008</v>
      </c>
      <c r="J81" s="1"/>
      <c r="K81" s="1"/>
      <c r="L81" s="1">
        <v>19.7</v>
      </c>
      <c r="M81" s="1">
        <f t="shared" si="9"/>
        <v>-0.75700000000000001</v>
      </c>
      <c r="N81" s="1">
        <f t="shared" si="10"/>
        <v>573.04899999999998</v>
      </c>
      <c r="O81" s="1">
        <f>(N81*10^-6)/D_Calculation_electrode_area!$B$19</f>
        <v>4.5057477771481017E-2</v>
      </c>
      <c r="P81" s="1">
        <f t="shared" si="11"/>
        <v>2.7546091853770902E-8</v>
      </c>
      <c r="Q81" s="4">
        <f t="shared" si="7"/>
        <v>1.3000487518281936E-7</v>
      </c>
      <c r="R81" s="1">
        <f>(K81*10^-3/$W$3)*0.33</f>
        <v>0</v>
      </c>
      <c r="S81" s="1">
        <f>(J81*10^-3/$W$2)*0.941</f>
        <v>0</v>
      </c>
      <c r="T81" s="14">
        <f>R81+S81</f>
        <v>0</v>
      </c>
    </row>
    <row r="82" spans="1:20">
      <c r="A82" s="8" t="s">
        <v>76</v>
      </c>
      <c r="B82" s="48" t="s">
        <v>50</v>
      </c>
      <c r="C82" s="44">
        <v>14</v>
      </c>
      <c r="D82" s="1">
        <v>-730</v>
      </c>
      <c r="E82" s="1">
        <v>-469.2</v>
      </c>
      <c r="F82" s="1">
        <v>262.89999999999998</v>
      </c>
      <c r="G82" s="1">
        <v>4.57</v>
      </c>
      <c r="H82" s="1">
        <v>18.86</v>
      </c>
      <c r="I82" s="1">
        <v>8.2070000000000007</v>
      </c>
      <c r="J82" s="1"/>
      <c r="K82" s="1"/>
      <c r="L82" s="1">
        <v>19.7</v>
      </c>
      <c r="M82" s="1">
        <f t="shared" si="9"/>
        <v>-0.73</v>
      </c>
      <c r="N82" s="1">
        <f t="shared" si="10"/>
        <v>532.9</v>
      </c>
      <c r="O82" s="1">
        <f>(N82*10^-6)/D_Calculation_electrode_area!$B$19</f>
        <v>4.1900657543111036E-2</v>
      </c>
      <c r="P82" s="4">
        <f t="shared" si="11"/>
        <v>2.4834761369202422E-8</v>
      </c>
      <c r="Q82" s="4">
        <f t="shared" si="7"/>
        <v>1.4281785566958762E-7</v>
      </c>
      <c r="R82" s="1">
        <f>(K82*10^-3/$W$3)*0.33</f>
        <v>0</v>
      </c>
      <c r="S82" s="1">
        <f>(J82*10^-3/$W$2)*0.941</f>
        <v>0</v>
      </c>
      <c r="T82" s="14">
        <f>R82+S82</f>
        <v>0</v>
      </c>
    </row>
    <row r="83" spans="1:20">
      <c r="A83" s="8" t="s">
        <v>77</v>
      </c>
      <c r="B83" s="48" t="s">
        <v>50</v>
      </c>
      <c r="C83" s="44">
        <v>14</v>
      </c>
      <c r="D83" s="1"/>
      <c r="E83" s="1"/>
      <c r="F83" s="1"/>
      <c r="G83" s="1">
        <v>4.87</v>
      </c>
      <c r="H83" s="1">
        <v>18.760000000000002</v>
      </c>
      <c r="I83" s="1">
        <v>8.4250000000000007</v>
      </c>
      <c r="J83" s="1"/>
      <c r="K83" s="1"/>
      <c r="L83" s="1">
        <v>19.7</v>
      </c>
      <c r="M83" s="1"/>
      <c r="N83" s="1"/>
      <c r="O83" s="1"/>
      <c r="P83" s="1">
        <f t="shared" si="11"/>
        <v>1.5033496171537694E-8</v>
      </c>
      <c r="Q83" s="4">
        <f t="shared" si="7"/>
        <v>1.5219320724527171E-7</v>
      </c>
      <c r="R83" s="1">
        <f>(K83*10^-3/$W$3)*0.33</f>
        <v>0</v>
      </c>
      <c r="S83" s="1">
        <f>(J83*10^-3/$W$2)*0.941</f>
        <v>0</v>
      </c>
      <c r="T83" s="14">
        <f>R83+S83</f>
        <v>0</v>
      </c>
    </row>
    <row r="84" spans="1:20">
      <c r="A84" s="18" t="s">
        <v>78</v>
      </c>
      <c r="B84" s="48" t="s">
        <v>50</v>
      </c>
      <c r="C84" s="44">
        <v>14</v>
      </c>
      <c r="D84" s="1"/>
      <c r="E84" s="1"/>
      <c r="F84" s="1"/>
      <c r="G84" s="1">
        <v>5.05</v>
      </c>
      <c r="H84" s="1">
        <v>18.52</v>
      </c>
      <c r="I84" s="1">
        <v>8.3219999999999992</v>
      </c>
      <c r="J84" s="1"/>
      <c r="K84" s="1"/>
      <c r="L84" s="1">
        <v>19.7</v>
      </c>
      <c r="M84" s="1"/>
      <c r="N84" s="1"/>
      <c r="O84" s="1"/>
      <c r="P84" s="4">
        <f t="shared" si="11"/>
        <v>1.9057239472216626E-8</v>
      </c>
      <c r="Q84" s="4">
        <f t="shared" si="7"/>
        <v>1.5781841819068215E-7</v>
      </c>
      <c r="R84" s="1">
        <f>(K84*10^-3/$W$3)*0.33</f>
        <v>0</v>
      </c>
      <c r="S84" s="1">
        <f>(J84*10^-3/$W$2)*0.941</f>
        <v>0</v>
      </c>
      <c r="T84" s="14">
        <f>R84+S84</f>
        <v>0</v>
      </c>
    </row>
    <row r="85" spans="1:20">
      <c r="A85" s="18" t="s">
        <v>79</v>
      </c>
      <c r="B85" s="50" t="s">
        <v>50</v>
      </c>
      <c r="C85" s="66">
        <v>14</v>
      </c>
      <c r="D85" s="2"/>
      <c r="E85" s="2"/>
      <c r="F85" s="2"/>
      <c r="G85" s="2">
        <v>5.41</v>
      </c>
      <c r="H85" s="2">
        <v>18.940000000000001</v>
      </c>
      <c r="I85" s="2">
        <v>8.109</v>
      </c>
      <c r="J85" s="2"/>
      <c r="K85" s="2"/>
      <c r="L85" s="2">
        <v>19.7</v>
      </c>
      <c r="M85" s="2"/>
      <c r="N85" s="2"/>
      <c r="O85" s="2"/>
      <c r="P85" s="1">
        <f t="shared" si="11"/>
        <v>3.1121462041592163E-8</v>
      </c>
      <c r="Q85" s="113">
        <f t="shared" si="7"/>
        <v>1.6906884008150306E-7</v>
      </c>
      <c r="R85" s="2">
        <f>(K85*10^-3/$W$3)*0.33</f>
        <v>0</v>
      </c>
      <c r="S85" s="2">
        <f>(J85*10^-3/$W$2)*0.941</f>
        <v>0</v>
      </c>
      <c r="T85" s="16">
        <f>R85+S85</f>
        <v>0</v>
      </c>
    </row>
    <row r="86" spans="1:20">
      <c r="A86" s="37" t="s">
        <v>68</v>
      </c>
      <c r="B86" s="51" t="s">
        <v>51</v>
      </c>
      <c r="C86" s="67">
        <v>16</v>
      </c>
      <c r="D86" s="12">
        <v>-447.2</v>
      </c>
      <c r="E86" s="12">
        <v>-335.8</v>
      </c>
      <c r="F86" s="12">
        <v>111.7</v>
      </c>
      <c r="G86" s="12">
        <v>4.04</v>
      </c>
      <c r="H86" s="12">
        <v>18.71</v>
      </c>
      <c r="I86" s="12">
        <v>8.2289999999999992</v>
      </c>
      <c r="J86" s="12">
        <v>0</v>
      </c>
      <c r="K86" s="12">
        <f>127*5</f>
        <v>635</v>
      </c>
      <c r="L86" s="12">
        <v>19.899999999999999</v>
      </c>
      <c r="M86" s="12">
        <f t="shared" ref="M86:M109" si="12">D86/1000</f>
        <v>-0.44719999999999999</v>
      </c>
      <c r="N86" s="12">
        <f t="shared" ref="N86:N97" si="13">D86*M86</f>
        <v>199.98783999999998</v>
      </c>
      <c r="O86" s="12">
        <f>(N86*10^-6)/D_Calculation_electrode_area!$B$19</f>
        <v>1.5724567454731622E-2</v>
      </c>
      <c r="P86" s="12">
        <f t="shared" si="11"/>
        <v>2.3608043206873801E-8</v>
      </c>
      <c r="Q86" s="4">
        <f t="shared" si="7"/>
        <v>1.2625473455254569E-7</v>
      </c>
      <c r="R86" s="12">
        <f>(K86*10^-3/$W$3)*0.33</f>
        <v>2.1813900519036546E-3</v>
      </c>
      <c r="S86" s="12">
        <f>(J86*10^-3/$W$2)*0.941</f>
        <v>0</v>
      </c>
      <c r="T86" s="36">
        <f>R86+S86</f>
        <v>2.1813900519036546E-3</v>
      </c>
    </row>
    <row r="87" spans="1:20">
      <c r="A87" s="8" t="s">
        <v>69</v>
      </c>
      <c r="B87" s="47" t="s">
        <v>51</v>
      </c>
      <c r="C87" s="44">
        <v>16</v>
      </c>
      <c r="D87" s="1">
        <v>-417.2</v>
      </c>
      <c r="E87" s="1">
        <v>-258.5</v>
      </c>
      <c r="F87" s="1">
        <v>148.19999999999999</v>
      </c>
      <c r="G87" s="1">
        <v>4.6399999999999997</v>
      </c>
      <c r="H87" s="1">
        <v>18.16</v>
      </c>
      <c r="I87" s="1">
        <v>8.6029999999999998</v>
      </c>
      <c r="J87" s="1">
        <v>0</v>
      </c>
      <c r="K87" s="1">
        <f>123*5</f>
        <v>615</v>
      </c>
      <c r="L87" s="1">
        <v>19.8</v>
      </c>
      <c r="M87" s="1">
        <f t="shared" si="12"/>
        <v>-0.41720000000000002</v>
      </c>
      <c r="N87" s="1">
        <f t="shared" si="13"/>
        <v>174.05583999999999</v>
      </c>
      <c r="O87" s="1">
        <f>(N87*10^-6)/D_Calculation_electrode_area!$B$19</f>
        <v>1.3685596069090873E-2</v>
      </c>
      <c r="P87" s="1">
        <f t="shared" si="11"/>
        <v>9.978378907771802E-9</v>
      </c>
      <c r="Q87" s="4">
        <f t="shared" si="7"/>
        <v>1.4500543770391388E-7</v>
      </c>
      <c r="R87" s="1">
        <f>(K87*10^-3/$W$3)*0.33</f>
        <v>2.1126848534185E-3</v>
      </c>
      <c r="S87" s="1">
        <f>(J87*10^-3/$W$2)*0.941</f>
        <v>0</v>
      </c>
      <c r="T87" s="14">
        <f>R87+S87</f>
        <v>2.1126848534185E-3</v>
      </c>
    </row>
    <row r="88" spans="1:20">
      <c r="A88" s="8" t="s">
        <v>70</v>
      </c>
      <c r="B88" s="47" t="s">
        <v>51</v>
      </c>
      <c r="C88" s="44">
        <v>16</v>
      </c>
      <c r="D88" s="1">
        <v>-500.1</v>
      </c>
      <c r="E88" s="1">
        <v>-268.8</v>
      </c>
      <c r="F88" s="1">
        <v>223.1</v>
      </c>
      <c r="G88" s="1">
        <v>5.63</v>
      </c>
      <c r="H88" s="1">
        <v>18.21</v>
      </c>
      <c r="I88" s="1">
        <v>8.5739999999999998</v>
      </c>
      <c r="J88" s="1">
        <v>0</v>
      </c>
      <c r="K88" s="1">
        <f>157*5</f>
        <v>785</v>
      </c>
      <c r="L88" s="1">
        <v>20</v>
      </c>
      <c r="M88" s="1">
        <f t="shared" si="12"/>
        <v>-0.50009999999999999</v>
      </c>
      <c r="N88" s="1">
        <f t="shared" si="13"/>
        <v>250.10001</v>
      </c>
      <c r="O88" s="1">
        <f>(N88*10^-6)/D_Calculation_electrode_area!$B$19</f>
        <v>1.9664768006265047E-2</v>
      </c>
      <c r="P88" s="1">
        <f t="shared" si="11"/>
        <v>1.066743465808589E-8</v>
      </c>
      <c r="Q88" s="4">
        <f t="shared" si="7"/>
        <v>1.7594409790367138E-7</v>
      </c>
      <c r="R88" s="1">
        <f>(K88*10^-3/$W$3)*0.33</f>
        <v>2.696679040542313E-3</v>
      </c>
      <c r="S88" s="1">
        <f>(J88*10^-3/$W$2)*0.941</f>
        <v>0</v>
      </c>
      <c r="T88" s="14">
        <f>R88+S88</f>
        <v>2.696679040542313E-3</v>
      </c>
    </row>
    <row r="89" spans="1:20">
      <c r="A89" s="8" t="s">
        <v>71</v>
      </c>
      <c r="B89" s="47" t="s">
        <v>51</v>
      </c>
      <c r="C89" s="44">
        <v>16</v>
      </c>
      <c r="D89" s="1">
        <v>-293.89999999999998</v>
      </c>
      <c r="E89" s="1">
        <v>-133</v>
      </c>
      <c r="F89" s="1">
        <v>173.5</v>
      </c>
      <c r="G89" s="1">
        <v>5.79</v>
      </c>
      <c r="H89" s="1">
        <v>18.38</v>
      </c>
      <c r="I89" s="1">
        <v>8.3379999999999992</v>
      </c>
      <c r="J89" s="1">
        <v>0</v>
      </c>
      <c r="K89" s="1">
        <f>135*5</f>
        <v>675</v>
      </c>
      <c r="L89" s="1">
        <v>20.2</v>
      </c>
      <c r="M89" s="1">
        <f t="shared" si="12"/>
        <v>-0.29389999999999999</v>
      </c>
      <c r="N89" s="1">
        <f t="shared" si="13"/>
        <v>86.377209999999991</v>
      </c>
      <c r="O89" s="1">
        <f>(N89*10^-6)/D_Calculation_electrode_area!$B$19</f>
        <v>6.7916342573454414E-3</v>
      </c>
      <c r="P89" s="1">
        <f t="shared" si="11"/>
        <v>1.8367920513474731E-8</v>
      </c>
      <c r="Q89" s="4">
        <f t="shared" si="7"/>
        <v>1.8094428541070289E-7</v>
      </c>
      <c r="R89" s="1">
        <f>(K89*10^-3/$W$3)*0.33</f>
        <v>2.3188004488739634E-3</v>
      </c>
      <c r="S89" s="1">
        <f>(J89*10^-3/$W$2)*0.941</f>
        <v>0</v>
      </c>
      <c r="T89" s="14">
        <f>R89+S89</f>
        <v>2.3188004488739634E-3</v>
      </c>
    </row>
    <row r="90" spans="1:20">
      <c r="A90" s="8" t="s">
        <v>72</v>
      </c>
      <c r="B90" s="47" t="s">
        <v>51</v>
      </c>
      <c r="C90" s="44">
        <v>16</v>
      </c>
      <c r="D90" s="1">
        <v>-302.5</v>
      </c>
      <c r="E90" s="1">
        <v>-271</v>
      </c>
      <c r="F90" s="1">
        <v>38.5</v>
      </c>
      <c r="G90" s="1">
        <v>5.77</v>
      </c>
      <c r="H90" s="1">
        <v>17.96</v>
      </c>
      <c r="I90" s="1">
        <v>8.3019999999999996</v>
      </c>
      <c r="J90" s="1">
        <v>0</v>
      </c>
      <c r="K90" s="1">
        <f>127*5</f>
        <v>635</v>
      </c>
      <c r="L90" s="1">
        <v>20.2</v>
      </c>
      <c r="M90" s="1">
        <f t="shared" si="12"/>
        <v>-0.30249999999999999</v>
      </c>
      <c r="N90" s="1">
        <f t="shared" si="13"/>
        <v>91.506249999999994</v>
      </c>
      <c r="O90" s="1">
        <f>(N90*10^-6)/D_Calculation_electrode_area!$B$19</f>
        <v>7.1949184543147002E-3</v>
      </c>
      <c r="P90" s="1">
        <f t="shared" si="11"/>
        <v>1.9955379498400483E-8</v>
      </c>
      <c r="Q90" s="4">
        <f t="shared" si="7"/>
        <v>1.8031926197232393E-7</v>
      </c>
      <c r="R90" s="1">
        <f>(K90*10^-3/$W$3)*0.33</f>
        <v>2.1813900519036546E-3</v>
      </c>
      <c r="S90" s="1">
        <f>(J90*10^-3/$W$2)*0.941</f>
        <v>0</v>
      </c>
      <c r="T90" s="14">
        <f>R90+S90</f>
        <v>2.1813900519036546E-3</v>
      </c>
    </row>
    <row r="91" spans="1:20">
      <c r="A91" s="8" t="s">
        <v>73</v>
      </c>
      <c r="B91" s="47" t="s">
        <v>51</v>
      </c>
      <c r="C91" s="44">
        <v>16</v>
      </c>
      <c r="D91" s="1">
        <v>-112.2</v>
      </c>
      <c r="E91" s="1">
        <v>-135.69999999999999</v>
      </c>
      <c r="F91" s="1">
        <v>262</v>
      </c>
      <c r="G91" s="1">
        <v>5.74</v>
      </c>
      <c r="H91" s="1">
        <v>18.510000000000002</v>
      </c>
      <c r="I91" s="1">
        <v>8.3010000000000002</v>
      </c>
      <c r="J91" s="1">
        <v>0</v>
      </c>
      <c r="K91" s="1">
        <f>142*5</f>
        <v>710</v>
      </c>
      <c r="L91" s="1">
        <v>20.2</v>
      </c>
      <c r="M91" s="1">
        <f t="shared" si="12"/>
        <v>-0.11220000000000001</v>
      </c>
      <c r="N91" s="1">
        <f t="shared" si="13"/>
        <v>12.588840000000001</v>
      </c>
      <c r="O91" s="1">
        <f>(N91*10^-6)/D_Calculation_electrode_area!$B$19</f>
        <v>9.8983050047854741E-4</v>
      </c>
      <c r="P91" s="1">
        <f t="shared" si="11"/>
        <v>2.0001381399079077E-8</v>
      </c>
      <c r="Q91" s="4">
        <f t="shared" si="7"/>
        <v>1.7938172681475556E-7</v>
      </c>
      <c r="R91" s="1">
        <f>(K91*10^-3/$W$3)*0.33</f>
        <v>2.4390345462229836E-3</v>
      </c>
      <c r="S91" s="1">
        <f>(J91*10^-3/$W$2)*0.941</f>
        <v>0</v>
      </c>
      <c r="T91" s="14">
        <f>R91+S91</f>
        <v>2.4390345462229836E-3</v>
      </c>
    </row>
    <row r="92" spans="1:20">
      <c r="A92" s="8" t="s">
        <v>74</v>
      </c>
      <c r="B92" s="47" t="s">
        <v>51</v>
      </c>
      <c r="C92" s="44">
        <v>16</v>
      </c>
      <c r="D92" s="1">
        <v>-762</v>
      </c>
      <c r="E92" s="1">
        <v>-467.1</v>
      </c>
      <c r="F92" s="1">
        <v>219.9</v>
      </c>
      <c r="G92" s="1">
        <v>4.2</v>
      </c>
      <c r="H92" s="1">
        <v>18.78</v>
      </c>
      <c r="I92" s="1">
        <v>8.1020000000000003</v>
      </c>
      <c r="J92" s="1">
        <v>0</v>
      </c>
      <c r="K92" s="1">
        <f>125*5</f>
        <v>625</v>
      </c>
      <c r="L92" s="1">
        <v>20.399999999999999</v>
      </c>
      <c r="M92" s="1">
        <f t="shared" si="12"/>
        <v>-0.76200000000000001</v>
      </c>
      <c r="N92" s="1">
        <f t="shared" si="13"/>
        <v>580.64400000000001</v>
      </c>
      <c r="O92" s="1">
        <f>(N92*10^-6)/D_Calculation_electrode_area!$B$19</f>
        <v>4.5654654528921305E-2</v>
      </c>
      <c r="P92" s="1">
        <f t="shared" si="11"/>
        <v>3.1627145119992936E-8</v>
      </c>
      <c r="Q92" s="4">
        <f t="shared" si="7"/>
        <v>1.3125492205957723E-7</v>
      </c>
      <c r="R92" s="1">
        <f>(K92*10^-3/$W$3)*0.33</f>
        <v>2.1470374526610771E-3</v>
      </c>
      <c r="S92" s="1">
        <f>(J92*10^-3/$W$2)*0.941</f>
        <v>0</v>
      </c>
      <c r="T92" s="14">
        <f>R92+S92</f>
        <v>2.1470374526610771E-3</v>
      </c>
    </row>
    <row r="93" spans="1:20">
      <c r="A93" s="8" t="s">
        <v>75</v>
      </c>
      <c r="B93" s="47" t="s">
        <v>51</v>
      </c>
      <c r="C93" s="44">
        <v>16</v>
      </c>
      <c r="D93" s="1">
        <v>-784</v>
      </c>
      <c r="E93" s="1">
        <v>-472.4</v>
      </c>
      <c r="F93" s="1">
        <v>303.7</v>
      </c>
      <c r="G93" s="1">
        <v>3.5</v>
      </c>
      <c r="H93" s="1">
        <v>18.73</v>
      </c>
      <c r="I93" s="1">
        <v>8.0530000000000008</v>
      </c>
      <c r="J93" s="1">
        <v>0</v>
      </c>
      <c r="K93" s="1">
        <f>124*5</f>
        <v>620</v>
      </c>
      <c r="L93" s="1">
        <v>20.3</v>
      </c>
      <c r="M93" s="1">
        <f t="shared" si="12"/>
        <v>-0.78400000000000003</v>
      </c>
      <c r="N93" s="1">
        <f t="shared" si="13"/>
        <v>614.65600000000006</v>
      </c>
      <c r="O93" s="1">
        <f>(N93*10^-6)/D_Calculation_electrode_area!$B$19</f>
        <v>4.8328937066651263E-2</v>
      </c>
      <c r="P93" s="1">
        <f t="shared" si="11"/>
        <v>3.5404624393233296E-8</v>
      </c>
      <c r="Q93" s="4">
        <f t="shared" si="7"/>
        <v>1.0937910171631436E-7</v>
      </c>
      <c r="R93" s="1">
        <f>(K93*10^-3/$W$3)*0.33</f>
        <v>2.1298611530397886E-3</v>
      </c>
      <c r="S93" s="1">
        <f>(J93*10^-3/$W$2)*0.941</f>
        <v>0</v>
      </c>
      <c r="T93" s="14">
        <f>R93+S93</f>
        <v>2.1298611530397886E-3</v>
      </c>
    </row>
    <row r="94" spans="1:20">
      <c r="A94" s="8" t="s">
        <v>76</v>
      </c>
      <c r="B94" s="47" t="s">
        <v>51</v>
      </c>
      <c r="C94" s="44">
        <v>16</v>
      </c>
      <c r="D94" s="1">
        <v>-752</v>
      </c>
      <c r="E94" s="1">
        <v>-474</v>
      </c>
      <c r="F94" s="1">
        <v>272.60000000000002</v>
      </c>
      <c r="G94" s="1">
        <v>3.74</v>
      </c>
      <c r="H94" s="1">
        <v>18.739999999999998</v>
      </c>
      <c r="I94" s="1">
        <v>8.2159999999999993</v>
      </c>
      <c r="J94" s="1">
        <v>0</v>
      </c>
      <c r="K94" s="1">
        <f>140*5</f>
        <v>700</v>
      </c>
      <c r="L94" s="1">
        <v>20.399999999999999</v>
      </c>
      <c r="M94" s="1">
        <f t="shared" si="12"/>
        <v>-0.752</v>
      </c>
      <c r="N94" s="1">
        <f t="shared" si="13"/>
        <v>565.50400000000002</v>
      </c>
      <c r="O94" s="1">
        <f>(N94*10^-6)/D_Calculation_electrode_area!$B$19</f>
        <v>4.4464232394932378E-2</v>
      </c>
      <c r="P94" s="1">
        <f t="shared" si="11"/>
        <v>2.4325400051148706E-8</v>
      </c>
      <c r="Q94" s="4">
        <f t="shared" si="7"/>
        <v>1.1687938297686164E-7</v>
      </c>
      <c r="R94" s="1">
        <f>(K94*10^-3/$W$3)*0.33</f>
        <v>2.4046819469804069E-3</v>
      </c>
      <c r="S94" s="1">
        <f>(J94*10^-3/$W$2)*0.941</f>
        <v>0</v>
      </c>
      <c r="T94" s="14">
        <f>R94+S94</f>
        <v>2.4046819469804069E-3</v>
      </c>
    </row>
    <row r="95" spans="1:20">
      <c r="A95" s="8" t="s">
        <v>77</v>
      </c>
      <c r="B95" s="47" t="s">
        <v>51</v>
      </c>
      <c r="C95" s="44">
        <v>16</v>
      </c>
      <c r="D95" s="1"/>
      <c r="E95" s="1"/>
      <c r="F95" s="1"/>
      <c r="G95" s="1">
        <v>4.22</v>
      </c>
      <c r="H95" s="1">
        <v>18.670000000000002</v>
      </c>
      <c r="I95" s="1">
        <v>8.2240000000000002</v>
      </c>
      <c r="J95" s="1">
        <v>0</v>
      </c>
      <c r="K95" s="1">
        <f>125*5</f>
        <v>625</v>
      </c>
      <c r="L95" s="1">
        <v>20.399999999999999</v>
      </c>
      <c r="M95" s="1"/>
      <c r="N95" s="1"/>
      <c r="O95" s="1"/>
      <c r="P95" s="1">
        <f t="shared" si="11"/>
        <v>2.3881411463353418E-8</v>
      </c>
      <c r="Q95" s="4">
        <f t="shared" si="7"/>
        <v>1.3187994549795616E-7</v>
      </c>
      <c r="R95" s="1">
        <f>(K95*10^-3/$W$3)*0.33</f>
        <v>2.1470374526610771E-3</v>
      </c>
      <c r="S95" s="1">
        <f>(J95*10^-3/$W$2)*0.941</f>
        <v>0</v>
      </c>
      <c r="T95" s="14">
        <f>R95+S95</f>
        <v>2.1470374526610771E-3</v>
      </c>
    </row>
    <row r="96" spans="1:20">
      <c r="A96" s="18" t="s">
        <v>78</v>
      </c>
      <c r="B96" s="47" t="s">
        <v>51</v>
      </c>
      <c r="C96" s="44">
        <v>16</v>
      </c>
      <c r="D96" s="1"/>
      <c r="E96" s="1"/>
      <c r="F96" s="1"/>
      <c r="G96" s="1">
        <v>4.58</v>
      </c>
      <c r="H96" s="1">
        <v>18.43</v>
      </c>
      <c r="I96" s="1">
        <v>8.359</v>
      </c>
      <c r="J96" s="1">
        <v>0</v>
      </c>
      <c r="K96" s="1">
        <f>60*5</f>
        <v>300</v>
      </c>
      <c r="L96" s="1">
        <v>20.399999999999999</v>
      </c>
      <c r="M96" s="1"/>
      <c r="N96" s="1"/>
      <c r="O96" s="1"/>
      <c r="P96" s="1">
        <f t="shared" si="11"/>
        <v>1.7500884206330061E-8</v>
      </c>
      <c r="Q96" s="4">
        <f t="shared" si="7"/>
        <v>1.4313036738877708E-7</v>
      </c>
      <c r="R96" s="1">
        <f>(K96*10^-3/$W$3)*0.33</f>
        <v>1.030577977277317E-3</v>
      </c>
      <c r="S96" s="1">
        <f>(J96*10^-3/$W$2)*0.941</f>
        <v>0</v>
      </c>
      <c r="T96" s="14">
        <f>R96+S96</f>
        <v>1.030577977277317E-3</v>
      </c>
    </row>
    <row r="97" spans="1:20">
      <c r="A97" s="9" t="s">
        <v>79</v>
      </c>
      <c r="B97" s="53" t="s">
        <v>51</v>
      </c>
      <c r="C97" s="68">
        <v>16</v>
      </c>
      <c r="D97" s="3"/>
      <c r="E97" s="3"/>
      <c r="F97" s="3"/>
      <c r="G97" s="3">
        <v>4.16</v>
      </c>
      <c r="H97" s="3">
        <v>18.809999999999999</v>
      </c>
      <c r="I97" s="3">
        <v>8.048</v>
      </c>
      <c r="J97" s="3">
        <v>0</v>
      </c>
      <c r="K97" s="3">
        <f>134*5</f>
        <v>670</v>
      </c>
      <c r="L97" s="3">
        <v>20.399999999999999</v>
      </c>
      <c r="M97" s="3"/>
      <c r="N97" s="3"/>
      <c r="O97" s="3"/>
      <c r="P97" s="3">
        <f t="shared" si="11"/>
        <v>3.5814590621983634E-8</v>
      </c>
      <c r="Q97" s="113">
        <f t="shared" si="7"/>
        <v>1.3000487518281936E-7</v>
      </c>
      <c r="R97" s="3">
        <f>(K97*10^-3/$W$3)*0.33</f>
        <v>2.3016241492526748E-3</v>
      </c>
      <c r="S97" s="3">
        <f>(J97*10^-3/$W$2)*0.941</f>
        <v>0</v>
      </c>
      <c r="T97" s="15">
        <f>R97+S97</f>
        <v>2.3016241492526748E-3</v>
      </c>
    </row>
    <row r="98" spans="1:20">
      <c r="A98" s="17" t="s">
        <v>68</v>
      </c>
      <c r="B98" s="55" t="s">
        <v>52</v>
      </c>
      <c r="C98" s="70">
        <v>18</v>
      </c>
      <c r="D98" s="4">
        <v>-440.4</v>
      </c>
      <c r="E98" s="4">
        <v>-341.8</v>
      </c>
      <c r="F98" s="4">
        <v>110</v>
      </c>
      <c r="G98" s="4">
        <v>5.13</v>
      </c>
      <c r="H98" s="4">
        <v>18.690000000000001</v>
      </c>
      <c r="I98" s="4">
        <v>8.23</v>
      </c>
      <c r="J98" s="4"/>
      <c r="K98" s="4"/>
      <c r="L98" s="4">
        <v>20.399999999999999</v>
      </c>
      <c r="M98" s="4">
        <f>D98/1000</f>
        <v>-0.44039999999999996</v>
      </c>
      <c r="N98" s="4">
        <f>D98*M98</f>
        <v>193.95215999999996</v>
      </c>
      <c r="O98" s="4">
        <f>(N98*10^-6)/D_Calculation_electrode_area!$B$19</f>
        <v>1.5249996314330412E-2</v>
      </c>
      <c r="P98" s="4">
        <f t="shared" si="11"/>
        <v>2.3553746214223485E-8</v>
      </c>
      <c r="Q98" s="4">
        <f t="shared" si="7"/>
        <v>1.6031851194419792E-7</v>
      </c>
      <c r="R98" s="4">
        <f>(K98*10^-3/$W$3)*0.33</f>
        <v>0</v>
      </c>
      <c r="S98" s="4">
        <f>(J98*10^-3/$W$2)*0.941</f>
        <v>0</v>
      </c>
      <c r="T98" s="19">
        <f>R98+S98</f>
        <v>0</v>
      </c>
    </row>
    <row r="99" spans="1:20">
      <c r="A99" s="8" t="s">
        <v>69</v>
      </c>
      <c r="B99" s="55" t="s">
        <v>52</v>
      </c>
      <c r="C99" s="44">
        <v>18</v>
      </c>
      <c r="D99" s="1">
        <v>-434.5</v>
      </c>
      <c r="E99" s="1">
        <v>-280.5</v>
      </c>
      <c r="F99" s="1">
        <v>142.1</v>
      </c>
      <c r="G99" s="1">
        <v>4.9800000000000004</v>
      </c>
      <c r="H99" s="1">
        <v>18.21</v>
      </c>
      <c r="I99" s="1">
        <v>8.3209999999999997</v>
      </c>
      <c r="J99" s="1"/>
      <c r="K99" s="1"/>
      <c r="L99" s="1">
        <v>20.399999999999999</v>
      </c>
      <c r="M99" s="1">
        <f t="shared" ref="M98:M109" si="14">D99/1000</f>
        <v>-0.4345</v>
      </c>
      <c r="N99" s="1">
        <f t="shared" ref="N98:N109" si="15">D99*M99</f>
        <v>188.79024999999999</v>
      </c>
      <c r="O99" s="1">
        <f>(N99*10^-6)/D_Calculation_electrode_area!$B$19</f>
        <v>1.4844127627562992E-2</v>
      </c>
      <c r="P99" s="1">
        <f t="shared" si="11"/>
        <v>1.9101170946307579E-8</v>
      </c>
      <c r="Q99" s="4">
        <f t="shared" si="7"/>
        <v>1.5563083615635589E-7</v>
      </c>
      <c r="R99" s="1">
        <f>(K99*10^-3/$W$3)*0.33</f>
        <v>0</v>
      </c>
      <c r="S99" s="1">
        <f>(J99*10^-3/$W$2)*0.941</f>
        <v>0</v>
      </c>
      <c r="T99" s="14">
        <f>R99+S99</f>
        <v>0</v>
      </c>
    </row>
    <row r="100" spans="1:20">
      <c r="A100" s="8" t="s">
        <v>70</v>
      </c>
      <c r="B100" s="55" t="s">
        <v>52</v>
      </c>
      <c r="C100" s="44">
        <v>18</v>
      </c>
      <c r="D100" s="1">
        <v>-506.6</v>
      </c>
      <c r="E100" s="1">
        <v>-270.60000000000002</v>
      </c>
      <c r="F100" s="1">
        <v>232.2</v>
      </c>
      <c r="G100" s="1">
        <v>6.44</v>
      </c>
      <c r="H100" s="1">
        <v>18.22</v>
      </c>
      <c r="I100" s="1">
        <v>8.5510000000000002</v>
      </c>
      <c r="J100" s="1"/>
      <c r="K100" s="1"/>
      <c r="L100" s="1">
        <v>20.399999999999999</v>
      </c>
      <c r="M100" s="1">
        <f t="shared" si="14"/>
        <v>-0.50660000000000005</v>
      </c>
      <c r="N100" s="1">
        <f t="shared" si="15"/>
        <v>256.64356000000004</v>
      </c>
      <c r="O100" s="1">
        <f>(N100*10^-6)/D_Calculation_electrode_area!$B$19</f>
        <v>2.0179271754935016E-2</v>
      </c>
      <c r="P100" s="4">
        <f t="shared" si="11"/>
        <v>1.1247603321595754E-8</v>
      </c>
      <c r="Q100" s="4">
        <f t="shared" si="7"/>
        <v>2.0125754715801843E-7</v>
      </c>
      <c r="R100" s="1">
        <f>(K100*10^-3/$W$3)*0.33</f>
        <v>0</v>
      </c>
      <c r="S100" s="1">
        <f>(J100*10^-3/$W$2)*0.941</f>
        <v>0</v>
      </c>
      <c r="T100" s="14">
        <f>R100+S100</f>
        <v>0</v>
      </c>
    </row>
    <row r="101" spans="1:20">
      <c r="A101" s="8" t="s">
        <v>71</v>
      </c>
      <c r="B101" s="55" t="s">
        <v>52</v>
      </c>
      <c r="C101" s="44">
        <v>18</v>
      </c>
      <c r="D101" s="1">
        <v>-307.39999999999998</v>
      </c>
      <c r="E101" s="1">
        <v>-141.9</v>
      </c>
      <c r="F101" s="1">
        <v>165.2</v>
      </c>
      <c r="G101" s="1">
        <v>5.58</v>
      </c>
      <c r="H101" s="1">
        <v>18.37</v>
      </c>
      <c r="I101" s="1">
        <v>8.3930000000000007</v>
      </c>
      <c r="J101" s="1"/>
      <c r="K101" s="1"/>
      <c r="L101" s="1">
        <v>20.399999999999999</v>
      </c>
      <c r="M101" s="1">
        <f t="shared" si="14"/>
        <v>-0.30739999999999995</v>
      </c>
      <c r="N101" s="1">
        <f t="shared" si="15"/>
        <v>94.494759999999971</v>
      </c>
      <c r="O101" s="1">
        <f>(N101*10^-6)/D_Calculation_electrode_area!$B$19</f>
        <v>7.4298978764842667E-3</v>
      </c>
      <c r="P101" s="1">
        <f t="shared" si="11"/>
        <v>1.6183035667897646E-8</v>
      </c>
      <c r="Q101" s="4">
        <f t="shared" si="7"/>
        <v>1.7438153930772405E-7</v>
      </c>
      <c r="R101" s="1">
        <f>(K101*10^-3/$W$3)*0.33</f>
        <v>0</v>
      </c>
      <c r="S101" s="1">
        <f>(J101*10^-3/$W$2)*0.941</f>
        <v>0</v>
      </c>
      <c r="T101" s="14">
        <f>R101+S101</f>
        <v>0</v>
      </c>
    </row>
    <row r="102" spans="1:20">
      <c r="A102" s="8" t="s">
        <v>72</v>
      </c>
      <c r="B102" s="55" t="s">
        <v>52</v>
      </c>
      <c r="C102" s="44">
        <v>18</v>
      </c>
      <c r="D102" s="1">
        <v>-144.9</v>
      </c>
      <c r="E102" s="1">
        <v>-315.39999999999998</v>
      </c>
      <c r="F102" s="1">
        <v>-169.4</v>
      </c>
      <c r="G102" s="1">
        <v>6.25</v>
      </c>
      <c r="H102" s="1">
        <v>18</v>
      </c>
      <c r="I102" s="1">
        <v>8.3369999999999997</v>
      </c>
      <c r="J102" s="1"/>
      <c r="K102" s="1"/>
      <c r="L102" s="1">
        <v>20.5</v>
      </c>
      <c r="M102" s="1">
        <f t="shared" si="14"/>
        <v>-0.1449</v>
      </c>
      <c r="N102" s="1">
        <f t="shared" si="15"/>
        <v>20.996010000000002</v>
      </c>
      <c r="O102" s="1">
        <f>(N102*10^-6)/D_Calculation_electrode_area!$B$19</f>
        <v>1.6508662502941168E-3</v>
      </c>
      <c r="P102" s="4">
        <f t="shared" si="11"/>
        <v>1.8410262943254241E-8</v>
      </c>
      <c r="Q102" s="4">
        <f t="shared" si="7"/>
        <v>1.9531982449341848E-7</v>
      </c>
      <c r="R102" s="1">
        <f>(K102*10^-3/$W$3)*0.33</f>
        <v>0</v>
      </c>
      <c r="S102" s="1">
        <f>(J102*10^-3/$W$2)*0.941</f>
        <v>0</v>
      </c>
      <c r="T102" s="14">
        <f>R102+S102</f>
        <v>0</v>
      </c>
    </row>
    <row r="103" spans="1:20">
      <c r="A103" s="8" t="s">
        <v>73</v>
      </c>
      <c r="B103" s="55" t="s">
        <v>52</v>
      </c>
      <c r="C103" s="44">
        <v>18</v>
      </c>
      <c r="D103" s="1">
        <v>-189.6</v>
      </c>
      <c r="E103" s="1">
        <v>45.56</v>
      </c>
      <c r="F103" s="1">
        <v>237.8</v>
      </c>
      <c r="G103" s="1">
        <v>6.07</v>
      </c>
      <c r="H103" s="1">
        <v>18.59</v>
      </c>
      <c r="I103" s="1">
        <v>8.4030000000000005</v>
      </c>
      <c r="J103" s="1"/>
      <c r="K103" s="1"/>
      <c r="L103" s="1">
        <v>20.5</v>
      </c>
      <c r="M103" s="1">
        <f t="shared" si="14"/>
        <v>-0.18959999999999999</v>
      </c>
      <c r="N103" s="1">
        <f t="shared" si="15"/>
        <v>35.948159999999994</v>
      </c>
      <c r="O103" s="1">
        <f>(N103*10^-6)/D_Calculation_electrode_area!$B$19</f>
        <v>2.8265181862731511E-3</v>
      </c>
      <c r="P103" s="1">
        <f t="shared" si="11"/>
        <v>1.5814664802725059E-8</v>
      </c>
      <c r="Q103" s="4">
        <f t="shared" si="7"/>
        <v>1.8969461354800806E-7</v>
      </c>
      <c r="R103" s="1">
        <f>(K103*10^-3/$W$3)*0.33</f>
        <v>0</v>
      </c>
      <c r="S103" s="1">
        <f>(J103*10^-3/$W$2)*0.941</f>
        <v>0</v>
      </c>
      <c r="T103" s="14">
        <f>R103+S103</f>
        <v>0</v>
      </c>
    </row>
    <row r="104" spans="1:20">
      <c r="A104" s="8" t="s">
        <v>74</v>
      </c>
      <c r="B104" s="55" t="s">
        <v>52</v>
      </c>
      <c r="C104" s="44">
        <v>18</v>
      </c>
      <c r="D104" s="1">
        <v>-776</v>
      </c>
      <c r="E104" s="1">
        <v>-471.1</v>
      </c>
      <c r="F104" s="1">
        <v>306.2</v>
      </c>
      <c r="G104" s="1">
        <v>4.92</v>
      </c>
      <c r="H104" s="1">
        <v>18.760000000000002</v>
      </c>
      <c r="I104" s="1">
        <v>8.11</v>
      </c>
      <c r="J104" s="1"/>
      <c r="K104" s="1"/>
      <c r="L104" s="1">
        <v>20.5</v>
      </c>
      <c r="M104" s="1">
        <f t="shared" si="14"/>
        <v>-0.77600000000000002</v>
      </c>
      <c r="N104" s="1">
        <f t="shared" si="15"/>
        <v>602.17600000000004</v>
      </c>
      <c r="O104" s="1">
        <f>(N104*10^-6)/D_Calculation_electrode_area!$B$19</f>
        <v>4.7347664396097645E-2</v>
      </c>
      <c r="P104" s="4">
        <f t="shared" si="11"/>
        <v>3.104988466514765E-8</v>
      </c>
      <c r="Q104" s="4">
        <f t="shared" si="7"/>
        <v>1.5375576584121903E-7</v>
      </c>
      <c r="R104" s="1">
        <f>(K104*10^-3/$W$3)*0.33</f>
        <v>0</v>
      </c>
      <c r="S104" s="1">
        <f>(J104*10^-3/$W$2)*0.941</f>
        <v>0</v>
      </c>
      <c r="T104" s="14">
        <f>R104+S104</f>
        <v>0</v>
      </c>
    </row>
    <row r="105" spans="1:20">
      <c r="A105" s="8" t="s">
        <v>75</v>
      </c>
      <c r="B105" s="55" t="s">
        <v>52</v>
      </c>
      <c r="C105" s="44">
        <v>18</v>
      </c>
      <c r="D105" s="1">
        <v>-769</v>
      </c>
      <c r="E105" s="1">
        <v>-456.9</v>
      </c>
      <c r="F105" s="1">
        <v>301.2</v>
      </c>
      <c r="G105" s="1">
        <v>4.03</v>
      </c>
      <c r="H105" s="1">
        <v>18.7</v>
      </c>
      <c r="I105" s="1">
        <v>7.9909999999999997</v>
      </c>
      <c r="J105" s="1"/>
      <c r="K105" s="1"/>
      <c r="L105" s="1">
        <v>20.6</v>
      </c>
      <c r="M105" s="1">
        <f t="shared" si="14"/>
        <v>-0.76900000000000002</v>
      </c>
      <c r="N105" s="1">
        <f t="shared" si="15"/>
        <v>591.36099999999999</v>
      </c>
      <c r="O105" s="1">
        <f>(N105*10^-6)/D_Calculation_electrode_area!$B$19</f>
        <v>4.6497306709235665E-2</v>
      </c>
      <c r="P105" s="1">
        <f t="shared" si="11"/>
        <v>4.0837579348307094E-8</v>
      </c>
      <c r="Q105" s="4">
        <f t="shared" si="7"/>
        <v>1.2594222283335627E-7</v>
      </c>
      <c r="R105" s="1">
        <f>(K105*10^-3/$W$3)*0.33</f>
        <v>0</v>
      </c>
      <c r="S105" s="1">
        <f>(J105*10^-3/$W$2)*0.941</f>
        <v>0</v>
      </c>
      <c r="T105" s="14">
        <f>R105+S105</f>
        <v>0</v>
      </c>
    </row>
    <row r="106" spans="1:20">
      <c r="A106" s="8" t="s">
        <v>76</v>
      </c>
      <c r="B106" s="55" t="s">
        <v>52</v>
      </c>
      <c r="C106" s="44">
        <v>18</v>
      </c>
      <c r="D106" s="1">
        <v>-755</v>
      </c>
      <c r="E106" s="1">
        <v>-473.1</v>
      </c>
      <c r="F106" s="1">
        <v>279.5</v>
      </c>
      <c r="G106" s="1">
        <v>5.0199999999999996</v>
      </c>
      <c r="H106" s="1">
        <v>18.71</v>
      </c>
      <c r="I106" s="1">
        <v>8.1850000000000005</v>
      </c>
      <c r="J106" s="1"/>
      <c r="K106" s="1"/>
      <c r="L106" s="1">
        <v>20.6</v>
      </c>
      <c r="M106" s="1">
        <f t="shared" si="14"/>
        <v>-0.755</v>
      </c>
      <c r="N106" s="1">
        <f t="shared" si="15"/>
        <v>570.02499999999998</v>
      </c>
      <c r="O106" s="1">
        <f>(N106*10^-6)/D_Calculation_electrode_area!$B$19</f>
        <v>4.4819707855154559E-2</v>
      </c>
      <c r="P106" s="4">
        <f t="shared" si="11"/>
        <v>2.6125222105898801E-8</v>
      </c>
      <c r="Q106" s="4">
        <f t="shared" si="7"/>
        <v>1.5688088303311373E-7</v>
      </c>
      <c r="R106" s="1">
        <f>(K106*10^-3/$W$3)*0.33</f>
        <v>0</v>
      </c>
      <c r="S106" s="1">
        <f>(J106*10^-3/$W$2)*0.941</f>
        <v>0</v>
      </c>
      <c r="T106" s="14">
        <f>R106+S106</f>
        <v>0</v>
      </c>
    </row>
    <row r="107" spans="1:20">
      <c r="A107" s="8" t="s">
        <v>77</v>
      </c>
      <c r="B107" s="55" t="s">
        <v>52</v>
      </c>
      <c r="C107" s="44">
        <v>18</v>
      </c>
      <c r="D107" s="1"/>
      <c r="E107" s="1"/>
      <c r="F107" s="1"/>
      <c r="G107" s="1">
        <v>5.6</v>
      </c>
      <c r="H107" s="1">
        <v>18.72</v>
      </c>
      <c r="I107" s="1">
        <v>8.2040000000000006</v>
      </c>
      <c r="J107" s="1"/>
      <c r="K107" s="1"/>
      <c r="L107" s="1">
        <v>20.5</v>
      </c>
      <c r="M107" s="1"/>
      <c r="N107" s="1"/>
      <c r="O107" s="1"/>
      <c r="P107" s="1">
        <f t="shared" si="11"/>
        <v>2.5006907711027365E-8</v>
      </c>
      <c r="Q107" s="4">
        <f t="shared" si="7"/>
        <v>1.7500656274610296E-7</v>
      </c>
      <c r="R107" s="1">
        <f>(K107*10^-3/$W$3)*0.33</f>
        <v>0</v>
      </c>
      <c r="S107" s="1">
        <f>(J107*10^-3/$W$2)*0.941</f>
        <v>0</v>
      </c>
      <c r="T107" s="14">
        <f>R107+S107</f>
        <v>0</v>
      </c>
    </row>
    <row r="108" spans="1:20">
      <c r="A108" s="18" t="s">
        <v>78</v>
      </c>
      <c r="B108" s="55" t="s">
        <v>52</v>
      </c>
      <c r="C108" s="44">
        <v>18</v>
      </c>
      <c r="D108" s="1"/>
      <c r="E108" s="1"/>
      <c r="F108" s="1"/>
      <c r="G108" s="1">
        <v>5.38</v>
      </c>
      <c r="H108" s="1">
        <v>18.45</v>
      </c>
      <c r="I108" s="1">
        <v>8.3529999999999998</v>
      </c>
      <c r="J108" s="1"/>
      <c r="K108" s="1"/>
      <c r="L108" s="1">
        <v>20.6</v>
      </c>
      <c r="M108" s="1"/>
      <c r="N108" s="1"/>
      <c r="O108" s="1"/>
      <c r="P108" s="4">
        <f t="shared" si="11"/>
        <v>1.7744345757257292E-8</v>
      </c>
      <c r="Q108" s="4">
        <f t="shared" si="7"/>
        <v>1.6813130492393462E-7</v>
      </c>
      <c r="R108" s="1">
        <f>(K108*10^-3/$W$3)*0.33</f>
        <v>0</v>
      </c>
      <c r="S108" s="1">
        <f>(J108*10^-3/$W$2)*0.941</f>
        <v>0</v>
      </c>
      <c r="T108" s="14">
        <f>R108+S108</f>
        <v>0</v>
      </c>
    </row>
    <row r="109" spans="1:20">
      <c r="A109" s="18" t="s">
        <v>79</v>
      </c>
      <c r="B109" s="92" t="s">
        <v>52</v>
      </c>
      <c r="C109" s="66">
        <v>18</v>
      </c>
      <c r="D109" s="2"/>
      <c r="E109" s="2"/>
      <c r="F109" s="2"/>
      <c r="G109" s="2">
        <v>5.68</v>
      </c>
      <c r="H109" s="2">
        <v>18.89</v>
      </c>
      <c r="I109" s="2">
        <v>8.1310000000000002</v>
      </c>
      <c r="J109" s="2"/>
      <c r="K109" s="2"/>
      <c r="L109" s="2">
        <v>20.5</v>
      </c>
      <c r="M109" s="2"/>
      <c r="N109" s="2"/>
      <c r="O109" s="2"/>
      <c r="P109" s="1">
        <f t="shared" si="11"/>
        <v>2.9584211002329476E-8</v>
      </c>
      <c r="Q109" s="113">
        <f t="shared" si="7"/>
        <v>1.7750665649961873E-7</v>
      </c>
      <c r="R109" s="2">
        <f>(K109*10^-3/$W$3)*0.33</f>
        <v>0</v>
      </c>
      <c r="S109" s="2">
        <f>(J109*10^-3/$W$2)*0.941</f>
        <v>0</v>
      </c>
      <c r="T109" s="16">
        <f>R109+S109</f>
        <v>0</v>
      </c>
    </row>
    <row r="110" spans="1:20">
      <c r="A110" s="37" t="s">
        <v>68</v>
      </c>
      <c r="B110" s="91" t="s">
        <v>53</v>
      </c>
      <c r="C110" s="67">
        <v>21</v>
      </c>
      <c r="D110" s="12">
        <v>-361.8</v>
      </c>
      <c r="E110" s="12">
        <v>-146.5</v>
      </c>
      <c r="F110" s="12">
        <v>216.3</v>
      </c>
      <c r="G110" s="12">
        <v>5.58</v>
      </c>
      <c r="H110" s="12">
        <v>18.77</v>
      </c>
      <c r="I110" s="12">
        <v>8.36</v>
      </c>
      <c r="J110" s="12"/>
      <c r="K110" s="12"/>
      <c r="L110" s="12">
        <v>20.3</v>
      </c>
      <c r="M110" s="12">
        <f>D110/1000</f>
        <v>-0.36180000000000001</v>
      </c>
      <c r="N110" s="12">
        <f>D110*M110</f>
        <v>130.89924000000002</v>
      </c>
      <c r="O110" s="12">
        <f>(N110*10^-6)/D_Calculation_electrode_area!$B$19</f>
        <v>1.0292295417326895E-2</v>
      </c>
      <c r="P110" s="12">
        <f t="shared" si="11"/>
        <v>1.7460633289606609E-8</v>
      </c>
      <c r="Q110" s="4">
        <f t="shared" si="7"/>
        <v>1.7438153930772405E-7</v>
      </c>
      <c r="R110" s="12">
        <f>(K110*10^-3/$W$3)*0.33</f>
        <v>0</v>
      </c>
      <c r="S110" s="12">
        <f>(J110*10^-3/$W$2)*0.941</f>
        <v>0</v>
      </c>
      <c r="T110" s="36">
        <f>R110+S110</f>
        <v>0</v>
      </c>
    </row>
    <row r="111" spans="1:20">
      <c r="A111" s="8" t="s">
        <v>69</v>
      </c>
      <c r="B111" s="85" t="s">
        <v>53</v>
      </c>
      <c r="C111" s="44">
        <v>21</v>
      </c>
      <c r="D111" s="1">
        <v>-406.6</v>
      </c>
      <c r="E111" s="1">
        <v>-234.4</v>
      </c>
      <c r="F111" s="1">
        <v>164.1</v>
      </c>
      <c r="G111" s="1">
        <v>4.13</v>
      </c>
      <c r="H111" s="1">
        <v>18.16</v>
      </c>
      <c r="I111" s="1">
        <v>8.4009999999999998</v>
      </c>
      <c r="J111" s="1"/>
      <c r="K111" s="1"/>
      <c r="L111" s="1">
        <v>20.399999999999999</v>
      </c>
      <c r="M111" s="1">
        <f>D111/1000</f>
        <v>-0.40660000000000002</v>
      </c>
      <c r="N111" s="1">
        <f>D111*M111</f>
        <v>165.32356000000001</v>
      </c>
      <c r="O111" s="1">
        <f>(N111*10^-6)/D_Calculation_electrode_area!$B$19</f>
        <v>1.2998997694441678E-2</v>
      </c>
      <c r="P111" s="1">
        <f t="shared" si="11"/>
        <v>1.5887661978777581E-8</v>
      </c>
      <c r="Q111" s="4">
        <f t="shared" si="7"/>
        <v>1.2906734002525094E-7</v>
      </c>
      <c r="R111" s="1">
        <f>(K111*10^-3/$W$3)*0.33</f>
        <v>0</v>
      </c>
      <c r="S111" s="1">
        <f>(J111*10^-3/$W$2)*0.941</f>
        <v>0</v>
      </c>
      <c r="T111" s="14">
        <f>R111+S111</f>
        <v>0</v>
      </c>
    </row>
    <row r="112" spans="1:20">
      <c r="A112" s="8" t="s">
        <v>70</v>
      </c>
      <c r="B112" s="85" t="s">
        <v>53</v>
      </c>
      <c r="C112" s="44">
        <v>21</v>
      </c>
      <c r="D112" s="1">
        <v>-497.5</v>
      </c>
      <c r="E112" s="1">
        <v>-273.2</v>
      </c>
      <c r="F112" s="1">
        <v>223</v>
      </c>
      <c r="G112" s="1">
        <v>5.49</v>
      </c>
      <c r="H112" s="1">
        <v>18.22</v>
      </c>
      <c r="I112" s="1">
        <v>8.5419999999999998</v>
      </c>
      <c r="J112" s="1"/>
      <c r="K112" s="1"/>
      <c r="L112" s="1">
        <v>20.399999999999999</v>
      </c>
      <c r="M112" s="1">
        <f>D112/1000</f>
        <v>-0.4975</v>
      </c>
      <c r="N112" s="1">
        <f>D112*M112</f>
        <v>247.50624999999999</v>
      </c>
      <c r="O112" s="1">
        <f>(N112*10^-6)/D_Calculation_electrode_area!$B$19</f>
        <v>1.9460826836234988E-2</v>
      </c>
      <c r="P112" s="1">
        <f t="shared" si="11"/>
        <v>1.1483122328098747E-8</v>
      </c>
      <c r="Q112" s="4">
        <f t="shared" si="7"/>
        <v>1.7156893383501881E-7</v>
      </c>
      <c r="R112" s="1">
        <f>(K112*10^-3/$W$3)*0.33</f>
        <v>0</v>
      </c>
      <c r="S112" s="1">
        <f>(J112*10^-3/$W$2)*0.941</f>
        <v>0</v>
      </c>
      <c r="T112" s="14">
        <f>R112+S112</f>
        <v>0</v>
      </c>
    </row>
    <row r="113" spans="1:20">
      <c r="A113" s="8" t="s">
        <v>71</v>
      </c>
      <c r="B113" s="85" t="s">
        <v>53</v>
      </c>
      <c r="C113" s="44">
        <v>21</v>
      </c>
      <c r="D113" s="1">
        <v>-286.8</v>
      </c>
      <c r="E113" s="1">
        <v>-166</v>
      </c>
      <c r="F113" s="1">
        <v>123</v>
      </c>
      <c r="G113" s="1">
        <v>5.76</v>
      </c>
      <c r="H113" s="1">
        <v>18.420000000000002</v>
      </c>
      <c r="I113" s="1">
        <v>8.5020000000000007</v>
      </c>
      <c r="J113" s="1"/>
      <c r="K113" s="1"/>
      <c r="L113" s="1">
        <v>20.6</v>
      </c>
      <c r="M113" s="1">
        <f>D113/1000</f>
        <v>-0.2868</v>
      </c>
      <c r="N113" s="1">
        <f>D113*M113</f>
        <v>82.25424000000001</v>
      </c>
      <c r="O113" s="1">
        <f>(N113*10^-6)/D_Calculation_electrode_area!$B$19</f>
        <v>6.4674549478492506E-3</v>
      </c>
      <c r="P113" s="1">
        <f t="shared" si="11"/>
        <v>1.2590993256405237E-8</v>
      </c>
      <c r="Q113" s="4">
        <f t="shared" si="7"/>
        <v>1.800067502531345E-7</v>
      </c>
      <c r="R113" s="1">
        <f>(K113*10^-3/$W$3)*0.33</f>
        <v>0</v>
      </c>
      <c r="S113" s="1">
        <f>(J113*10^-3/$W$2)*0.941</f>
        <v>0</v>
      </c>
      <c r="T113" s="14">
        <f>R113+S113</f>
        <v>0</v>
      </c>
    </row>
    <row r="114" spans="1:20">
      <c r="A114" s="8" t="s">
        <v>72</v>
      </c>
      <c r="B114" s="85" t="s">
        <v>53</v>
      </c>
      <c r="C114" s="44">
        <v>21</v>
      </c>
      <c r="D114" s="1">
        <v>-195.1</v>
      </c>
      <c r="E114" s="1">
        <v>-312.3</v>
      </c>
      <c r="F114" s="1">
        <v>-121.2</v>
      </c>
      <c r="G114" s="1">
        <v>5.49</v>
      </c>
      <c r="H114" s="1">
        <v>18.05</v>
      </c>
      <c r="I114" s="1">
        <v>8.3829999999999991</v>
      </c>
      <c r="J114" s="1"/>
      <c r="K114" s="1"/>
      <c r="L114" s="1">
        <v>20.5</v>
      </c>
      <c r="M114" s="1">
        <f>D114/1000</f>
        <v>-0.1951</v>
      </c>
      <c r="N114" s="1">
        <f>D114*M114</f>
        <v>38.064009999999996</v>
      </c>
      <c r="O114" s="1">
        <f>(N114*10^-6)/D_Calculation_electrode_area!$B$19</f>
        <v>2.9928824314647282E-3</v>
      </c>
      <c r="P114" s="1">
        <f t="shared" si="11"/>
        <v>1.6559986992789212E-8</v>
      </c>
      <c r="Q114" s="4">
        <f t="shared" si="7"/>
        <v>1.7156893383501881E-7</v>
      </c>
      <c r="R114" s="1">
        <f>(K114*10^-3/$W$3)*0.33</f>
        <v>0</v>
      </c>
      <c r="S114" s="1">
        <f>(J114*10^-3/$W$2)*0.941</f>
        <v>0</v>
      </c>
      <c r="T114" s="14">
        <f>R114+S114</f>
        <v>0</v>
      </c>
    </row>
    <row r="115" spans="1:20">
      <c r="A115" s="8" t="s">
        <v>73</v>
      </c>
      <c r="B115" s="85" t="s">
        <v>53</v>
      </c>
      <c r="C115" s="44">
        <v>21</v>
      </c>
      <c r="D115" s="1">
        <v>-195.6</v>
      </c>
      <c r="E115" s="1">
        <v>44.34</v>
      </c>
      <c r="F115" s="1">
        <v>240.5</v>
      </c>
      <c r="G115" s="1">
        <v>5.72</v>
      </c>
      <c r="H115" s="1">
        <v>18.600000000000001</v>
      </c>
      <c r="I115" s="1">
        <v>8.5139999999999993</v>
      </c>
      <c r="J115" s="1"/>
      <c r="K115" s="1"/>
      <c r="L115" s="1">
        <v>20.5</v>
      </c>
      <c r="M115" s="1">
        <f>D115/1000</f>
        <v>-0.1956</v>
      </c>
      <c r="N115" s="1">
        <f>D115*M115</f>
        <v>38.259360000000001</v>
      </c>
      <c r="O115" s="1">
        <f>(N115*10^-6)/D_Calculation_electrode_area!$B$19</f>
        <v>3.0082423366083705E-3</v>
      </c>
      <c r="P115" s="1">
        <f t="shared" si="11"/>
        <v>1.2247853734762713E-8</v>
      </c>
      <c r="Q115" s="4">
        <f t="shared" si="7"/>
        <v>1.787567033763766E-7</v>
      </c>
      <c r="R115" s="1">
        <f>(K115*10^-3/$W$3)*0.33</f>
        <v>0</v>
      </c>
      <c r="S115" s="1">
        <f>(J115*10^-3/$W$2)*0.941</f>
        <v>0</v>
      </c>
      <c r="T115" s="14">
        <f>R115+S115</f>
        <v>0</v>
      </c>
    </row>
    <row r="116" spans="1:20">
      <c r="A116" s="8" t="s">
        <v>74</v>
      </c>
      <c r="B116" s="85" t="s">
        <v>53</v>
      </c>
      <c r="C116" s="44">
        <v>21</v>
      </c>
      <c r="D116" s="1">
        <v>-751</v>
      </c>
      <c r="E116" s="1">
        <v>-465.6</v>
      </c>
      <c r="F116" s="1">
        <v>289.3</v>
      </c>
      <c r="G116" s="1">
        <v>5.99</v>
      </c>
      <c r="H116" s="1">
        <v>18.8</v>
      </c>
      <c r="I116" s="1">
        <v>8.3510000000000009</v>
      </c>
      <c r="J116" s="1"/>
      <c r="K116" s="1"/>
      <c r="L116" s="1">
        <v>20.7</v>
      </c>
      <c r="M116" s="1">
        <f>D116/1000</f>
        <v>-0.751</v>
      </c>
      <c r="N116" s="1">
        <f>D116*M116</f>
        <v>564.00099999999998</v>
      </c>
      <c r="O116" s="1">
        <f>(N116*10^-6)/D_Calculation_electrode_area!$B$19</f>
        <v>4.4346055085329641E-2</v>
      </c>
      <c r="P116" s="1">
        <f t="shared" si="11"/>
        <v>1.7826249935900084E-8</v>
      </c>
      <c r="Q116" s="4">
        <f t="shared" si="7"/>
        <v>1.8719451979449229E-7</v>
      </c>
      <c r="R116" s="1">
        <f>(K116*10^-3/$W$3)*0.33</f>
        <v>0</v>
      </c>
      <c r="S116" s="1">
        <f>(J116*10^-3/$W$2)*0.941</f>
        <v>0</v>
      </c>
      <c r="T116" s="14">
        <f>R116+S116</f>
        <v>0</v>
      </c>
    </row>
    <row r="117" spans="1:20">
      <c r="A117" s="8" t="s">
        <v>75</v>
      </c>
      <c r="B117" s="85" t="s">
        <v>53</v>
      </c>
      <c r="C117" s="44">
        <v>21</v>
      </c>
      <c r="D117" s="1">
        <v>-739</v>
      </c>
      <c r="E117" s="1">
        <v>-449.6</v>
      </c>
      <c r="F117" s="1">
        <v>294.2</v>
      </c>
      <c r="G117" s="1">
        <v>5.29</v>
      </c>
      <c r="H117" s="1">
        <v>18.78</v>
      </c>
      <c r="I117" s="1">
        <v>8.2870000000000008</v>
      </c>
      <c r="J117" s="1"/>
      <c r="K117" s="1"/>
      <c r="L117" s="1">
        <v>20.8</v>
      </c>
      <c r="M117" s="1">
        <f>D117/1000</f>
        <v>-0.73899999999999999</v>
      </c>
      <c r="N117" s="1">
        <f>D117*M117</f>
        <v>546.12099999999998</v>
      </c>
      <c r="O117" s="1">
        <f>(N117*10^-6)/D_Calculation_electrode_area!$B$19</f>
        <v>4.2940193278478783E-2</v>
      </c>
      <c r="P117" s="1">
        <f t="shared" si="11"/>
        <v>2.0656654770882756E-8</v>
      </c>
      <c r="Q117" s="4">
        <f t="shared" si="7"/>
        <v>1.6531869945122943E-7</v>
      </c>
      <c r="R117" s="1">
        <f>(K117*10^-3/$W$3)*0.33</f>
        <v>0</v>
      </c>
      <c r="S117" s="1">
        <f>(J117*10^-3/$W$2)*0.941</f>
        <v>0</v>
      </c>
      <c r="T117" s="14">
        <f>R117+S117</f>
        <v>0</v>
      </c>
    </row>
    <row r="118" spans="1:20">
      <c r="A118" s="8" t="s">
        <v>76</v>
      </c>
      <c r="B118" s="85" t="s">
        <v>53</v>
      </c>
      <c r="C118" s="44">
        <v>21</v>
      </c>
      <c r="D118" s="1">
        <v>-735</v>
      </c>
      <c r="E118" s="1">
        <v>-466.2</v>
      </c>
      <c r="F118" s="1">
        <v>269.2</v>
      </c>
      <c r="G118" s="1">
        <v>5.44</v>
      </c>
      <c r="H118" s="1">
        <v>18.760000000000002</v>
      </c>
      <c r="I118" s="1">
        <v>8.3840000000000003</v>
      </c>
      <c r="J118" s="1"/>
      <c r="K118" s="1"/>
      <c r="L118" s="1">
        <v>20.8</v>
      </c>
      <c r="M118" s="1">
        <f>D118/1000</f>
        <v>-0.73499999999999999</v>
      </c>
      <c r="N118" s="1">
        <f>D118*M118</f>
        <v>540.22500000000002</v>
      </c>
      <c r="O118" s="1">
        <f>(N118*10^-6)/D_Calculation_electrode_area!$B$19</f>
        <v>4.2476604843736457E-2</v>
      </c>
      <c r="P118" s="1">
        <f t="shared" si="11"/>
        <v>1.6521900079606438E-8</v>
      </c>
      <c r="Q118" s="4">
        <f t="shared" si="7"/>
        <v>1.7000637523907148E-7</v>
      </c>
      <c r="R118" s="1">
        <f>(K118*10^-3/$W$3)*0.33</f>
        <v>0</v>
      </c>
      <c r="S118" s="1">
        <f>(J118*10^-3/$W$2)*0.941</f>
        <v>0</v>
      </c>
      <c r="T118" s="14">
        <f>R118+S118</f>
        <v>0</v>
      </c>
    </row>
    <row r="119" spans="1:20">
      <c r="A119" s="8" t="s">
        <v>77</v>
      </c>
      <c r="B119" s="85" t="s">
        <v>53</v>
      </c>
      <c r="C119" s="44">
        <v>21</v>
      </c>
      <c r="D119" s="1"/>
      <c r="E119" s="1"/>
      <c r="F119" s="1"/>
      <c r="G119" s="1">
        <v>6.09</v>
      </c>
      <c r="H119" s="1">
        <v>18.71</v>
      </c>
      <c r="I119" s="1">
        <v>8.4079999999999995</v>
      </c>
      <c r="J119" s="1"/>
      <c r="K119" s="1"/>
      <c r="L119" s="1">
        <v>20.7</v>
      </c>
      <c r="M119" s="1"/>
      <c r="N119" s="1"/>
      <c r="O119" s="1"/>
      <c r="P119" s="1">
        <f t="shared" si="11"/>
        <v>1.5633635831696081E-8</v>
      </c>
      <c r="Q119" s="4">
        <f t="shared" si="7"/>
        <v>1.9031963698638697E-7</v>
      </c>
      <c r="R119" s="1">
        <f>(K119*10^-3/$W$3)*0.33</f>
        <v>0</v>
      </c>
      <c r="S119" s="1">
        <f>(J119*10^-3/$W$2)*0.941</f>
        <v>0</v>
      </c>
      <c r="T119" s="14">
        <f>R119+S119</f>
        <v>0</v>
      </c>
    </row>
    <row r="120" spans="1:20">
      <c r="A120" s="18" t="s">
        <v>78</v>
      </c>
      <c r="B120" s="85" t="s">
        <v>53</v>
      </c>
      <c r="C120" s="44">
        <v>21</v>
      </c>
      <c r="D120" s="1"/>
      <c r="E120" s="1"/>
      <c r="F120" s="1"/>
      <c r="G120" s="1">
        <v>5.52</v>
      </c>
      <c r="H120" s="1">
        <v>18.48</v>
      </c>
      <c r="I120" s="1">
        <v>8.4079999999999995</v>
      </c>
      <c r="J120" s="1"/>
      <c r="K120" s="1"/>
      <c r="L120" s="1">
        <v>20.7</v>
      </c>
      <c r="M120" s="1"/>
      <c r="N120" s="1"/>
      <c r="O120" s="1"/>
      <c r="P120" s="1">
        <f t="shared" si="11"/>
        <v>1.5633635831696081E-8</v>
      </c>
      <c r="Q120" s="4">
        <f t="shared" si="7"/>
        <v>1.7250646899258722E-7</v>
      </c>
      <c r="R120" s="1">
        <f>(K120*10^-3/$W$3)*0.33</f>
        <v>0</v>
      </c>
      <c r="S120" s="1">
        <f>(J120*10^-3/$W$2)*0.941</f>
        <v>0</v>
      </c>
      <c r="T120" s="14">
        <f>R120+S120</f>
        <v>0</v>
      </c>
    </row>
    <row r="121" spans="1:20">
      <c r="A121" s="9" t="s">
        <v>79</v>
      </c>
      <c r="B121" s="86" t="s">
        <v>53</v>
      </c>
      <c r="C121" s="68">
        <v>21</v>
      </c>
      <c r="D121" s="3"/>
      <c r="E121" s="3"/>
      <c r="F121" s="3"/>
      <c r="G121" s="3">
        <v>5.62</v>
      </c>
      <c r="H121" s="3">
        <v>18.87</v>
      </c>
      <c r="I121" s="3">
        <v>8.2970000000000006</v>
      </c>
      <c r="J121" s="3"/>
      <c r="K121" s="3"/>
      <c r="L121" s="3">
        <v>20.6</v>
      </c>
      <c r="M121" s="3"/>
      <c r="N121" s="3"/>
      <c r="O121" s="3"/>
      <c r="P121" s="3">
        <f t="shared" si="11"/>
        <v>2.0186451902541056E-8</v>
      </c>
      <c r="Q121" s="113">
        <f t="shared" si="7"/>
        <v>1.756315861844819E-7</v>
      </c>
      <c r="R121" s="3">
        <f>(K121*10^-3/$W$3)*0.33</f>
        <v>0</v>
      </c>
      <c r="S121" s="3">
        <f>(J121*10^-3/$W$2)*0.941</f>
        <v>0</v>
      </c>
      <c r="T121" s="15">
        <f>R121+S121</f>
        <v>0</v>
      </c>
    </row>
    <row r="122" spans="1:20">
      <c r="A122" s="17" t="s">
        <v>68</v>
      </c>
      <c r="B122" s="61" t="s">
        <v>54</v>
      </c>
      <c r="C122" s="70">
        <v>23</v>
      </c>
      <c r="D122" s="4">
        <v>-309.60000000000002</v>
      </c>
      <c r="E122" s="4">
        <v>-101.4</v>
      </c>
      <c r="F122" s="4">
        <v>217.7</v>
      </c>
      <c r="G122" s="4">
        <v>4.7699999999999996</v>
      </c>
      <c r="H122" s="4">
        <v>18.850000000000001</v>
      </c>
      <c r="I122" s="4">
        <v>8.2959999999999994</v>
      </c>
      <c r="J122" s="4">
        <v>0</v>
      </c>
      <c r="K122" s="4">
        <f>132*5</f>
        <v>660</v>
      </c>
      <c r="L122" s="4">
        <v>19.899999999999999</v>
      </c>
      <c r="M122" s="4">
        <f>D122/1000</f>
        <v>-0.30960000000000004</v>
      </c>
      <c r="N122" s="4">
        <f>D122*M122</f>
        <v>95.852160000000026</v>
      </c>
      <c r="O122" s="4">
        <f>(N122*10^-6)/D_Calculation_electrode_area!$B$19</f>
        <v>7.5366270049305444E-3</v>
      </c>
      <c r="P122" s="4">
        <f t="shared" si="11"/>
        <v>2.0232986480124571E-8</v>
      </c>
      <c r="Q122" s="4">
        <f t="shared" si="7"/>
        <v>1.4906809005337698E-7</v>
      </c>
      <c r="R122" s="4">
        <f>(K122*10^-3/$W$3)*0.33</f>
        <v>2.2672715500100978E-3</v>
      </c>
      <c r="S122" s="4">
        <f>(J122*10^-3/$W$2)*0.941</f>
        <v>0</v>
      </c>
      <c r="T122" s="19">
        <f>R122+S122</f>
        <v>2.2672715500100978E-3</v>
      </c>
    </row>
    <row r="123" spans="1:20">
      <c r="A123" s="8" t="s">
        <v>69</v>
      </c>
      <c r="B123" s="57" t="s">
        <v>54</v>
      </c>
      <c r="C123" s="44">
        <v>23</v>
      </c>
      <c r="D123" s="1">
        <v>-375.5</v>
      </c>
      <c r="E123" s="1">
        <v>-198.2</v>
      </c>
      <c r="F123" s="1">
        <v>171.5</v>
      </c>
      <c r="G123" s="1">
        <v>4.32</v>
      </c>
      <c r="H123" s="1">
        <v>18.3</v>
      </c>
      <c r="I123" s="1">
        <v>8.3729999999999993</v>
      </c>
      <c r="J123" s="1">
        <v>0</v>
      </c>
      <c r="K123" s="1">
        <f>72.7*8</f>
        <v>581.6</v>
      </c>
      <c r="L123" s="1">
        <v>19.8</v>
      </c>
      <c r="M123" s="1">
        <f>D123/1000</f>
        <v>-0.3755</v>
      </c>
      <c r="N123" s="1">
        <f>D123*M123</f>
        <v>141.00024999999999</v>
      </c>
      <c r="O123" s="1">
        <f>(N123*10^-6)/D_Calculation_electrode_area!$B$19</f>
        <v>1.108651377133241E-2</v>
      </c>
      <c r="P123" s="1">
        <f t="shared" si="11"/>
        <v>1.6945718641981641E-8</v>
      </c>
      <c r="Q123" s="4">
        <f t="shared" si="7"/>
        <v>1.3500506268985087E-7</v>
      </c>
      <c r="R123" s="1">
        <f>(K123*10^-3/$W$3)*0.33</f>
        <v>1.9979471719482919E-3</v>
      </c>
      <c r="S123" s="1">
        <f>(J123*10^-3/$W$2)*0.941</f>
        <v>0</v>
      </c>
      <c r="T123" s="14">
        <f>R123+S123</f>
        <v>1.9979471719482919E-3</v>
      </c>
    </row>
    <row r="124" spans="1:20">
      <c r="A124" s="8" t="s">
        <v>70</v>
      </c>
      <c r="B124" s="57" t="s">
        <v>54</v>
      </c>
      <c r="C124" s="44">
        <v>23</v>
      </c>
      <c r="D124" s="1">
        <v>-481.9</v>
      </c>
      <c r="E124" s="1">
        <v>-273.2</v>
      </c>
      <c r="F124" s="1">
        <v>208.6</v>
      </c>
      <c r="G124" s="1">
        <v>5.54</v>
      </c>
      <c r="H124" s="1">
        <v>18.350000000000001</v>
      </c>
      <c r="I124" s="1">
        <v>8.6029999999999998</v>
      </c>
      <c r="J124" s="1">
        <v>0</v>
      </c>
      <c r="K124" s="1">
        <f>98.9*8</f>
        <v>791.2</v>
      </c>
      <c r="L124" s="1">
        <v>19.899999999999999</v>
      </c>
      <c r="M124" s="1">
        <f>D124/1000</f>
        <v>-0.4819</v>
      </c>
      <c r="N124" s="1">
        <f>D124*M124</f>
        <v>232.22761</v>
      </c>
      <c r="O124" s="1">
        <f>(N124*10^-6)/D_Calculation_electrode_area!$B$19</f>
        <v>1.8259503769309716E-2</v>
      </c>
      <c r="P124" s="4">
        <f t="shared" si="11"/>
        <v>9.978378907771802E-9</v>
      </c>
      <c r="Q124" s="4">
        <f t="shared" si="7"/>
        <v>1.7313149243096616E-7</v>
      </c>
      <c r="R124" s="1">
        <f>(K124*10^-3/$W$3)*0.33</f>
        <v>2.7179776520727108E-3</v>
      </c>
      <c r="S124" s="1">
        <f>(J124*10^-3/$W$2)*0.941</f>
        <v>0</v>
      </c>
      <c r="T124" s="14">
        <f>R124+S124</f>
        <v>2.7179776520727108E-3</v>
      </c>
    </row>
    <row r="125" spans="1:20">
      <c r="A125" s="8" t="s">
        <v>71</v>
      </c>
      <c r="B125" s="57" t="s">
        <v>54</v>
      </c>
      <c r="C125" s="44">
        <v>23</v>
      </c>
      <c r="D125" s="1">
        <v>-313.2</v>
      </c>
      <c r="E125" s="1">
        <v>-154</v>
      </c>
      <c r="F125" s="1">
        <v>163.5</v>
      </c>
      <c r="G125" s="1">
        <v>6.12</v>
      </c>
      <c r="H125" s="1">
        <v>18.52</v>
      </c>
      <c r="I125" s="1">
        <v>8.4019999999999992</v>
      </c>
      <c r="J125" s="1">
        <v>0</v>
      </c>
      <c r="K125" s="1">
        <f>87.3*8</f>
        <v>698.4</v>
      </c>
      <c r="L125" s="1">
        <v>20.100000000000001</v>
      </c>
      <c r="M125" s="1">
        <f>D125/1000</f>
        <v>-0.31319999999999998</v>
      </c>
      <c r="N125" s="1">
        <f>D125*M125</f>
        <v>98.094239999999985</v>
      </c>
      <c r="O125" s="1">
        <f>(N125*10^-6)/D_Calculation_electrode_area!$B$19</f>
        <v>7.7129164143211549E-3</v>
      </c>
      <c r="P125" s="1">
        <f t="shared" si="11"/>
        <v>1.585112137021759E-8</v>
      </c>
      <c r="Q125" s="4">
        <f t="shared" si="7"/>
        <v>1.9125717214395539E-7</v>
      </c>
      <c r="R125" s="1">
        <f>(K125*10^-3/$W$3)*0.33</f>
        <v>2.3991855311015944E-3</v>
      </c>
      <c r="S125" s="1">
        <f>(J125*10^-3/$W$2)*0.941</f>
        <v>0</v>
      </c>
      <c r="T125" s="14">
        <f>R125+S125</f>
        <v>2.3991855311015944E-3</v>
      </c>
    </row>
    <row r="126" spans="1:20">
      <c r="A126" s="8" t="s">
        <v>72</v>
      </c>
      <c r="B126" s="57" t="s">
        <v>54</v>
      </c>
      <c r="C126" s="44">
        <v>23</v>
      </c>
      <c r="D126" s="1">
        <v>-201.5</v>
      </c>
      <c r="E126" s="1">
        <v>-266.5</v>
      </c>
      <c r="F126" s="1">
        <v>-62.9</v>
      </c>
      <c r="G126" s="1">
        <v>5.33</v>
      </c>
      <c r="H126" s="1">
        <v>18.13</v>
      </c>
      <c r="I126" s="1">
        <v>8.5150000000000006</v>
      </c>
      <c r="J126" s="1">
        <v>0</v>
      </c>
      <c r="K126" s="1">
        <f>67.8*8</f>
        <v>542.4</v>
      </c>
      <c r="L126" s="1">
        <v>20.100000000000001</v>
      </c>
      <c r="M126" s="1">
        <f>D126/1000</f>
        <v>-0.20150000000000001</v>
      </c>
      <c r="N126" s="1">
        <f>D126*M126</f>
        <v>40.602250000000005</v>
      </c>
      <c r="O126" s="1">
        <f>(N126*10^-6)/D_Calculation_electrode_area!$B$19</f>
        <v>3.1924581961527121E-3</v>
      </c>
      <c r="P126" s="4">
        <f t="shared" si="11"/>
        <v>1.2219684452862004E-8</v>
      </c>
      <c r="Q126" s="4">
        <f t="shared" si="7"/>
        <v>1.665687463279873E-7</v>
      </c>
      <c r="R126" s="1">
        <f>(K126*10^-3/$W$3)*0.33</f>
        <v>1.8632849829173892E-3</v>
      </c>
      <c r="S126" s="1">
        <f>(J126*10^-3/$W$2)*0.941</f>
        <v>0</v>
      </c>
      <c r="T126" s="14">
        <f>R126+S126</f>
        <v>1.8632849829173892E-3</v>
      </c>
    </row>
    <row r="127" spans="1:20">
      <c r="A127" s="8" t="s">
        <v>73</v>
      </c>
      <c r="B127" s="57" t="s">
        <v>54</v>
      </c>
      <c r="C127" s="44">
        <v>23</v>
      </c>
      <c r="D127" s="1">
        <v>-183.1</v>
      </c>
      <c r="E127" s="1">
        <v>47.16</v>
      </c>
      <c r="F127" s="1">
        <v>230.7</v>
      </c>
      <c r="G127" s="1">
        <v>5.78</v>
      </c>
      <c r="H127" s="1">
        <v>18.649999999999999</v>
      </c>
      <c r="I127" s="1">
        <v>8.6159999999999997</v>
      </c>
      <c r="J127" s="1">
        <v>0</v>
      </c>
      <c r="K127" s="1">
        <f>94.7*8</f>
        <v>757.6</v>
      </c>
      <c r="L127" s="1">
        <v>20.100000000000001</v>
      </c>
      <c r="M127" s="1">
        <f>D127/1000</f>
        <v>-0.18309999999999998</v>
      </c>
      <c r="N127" s="1">
        <f>D127*M127</f>
        <v>33.525609999999993</v>
      </c>
      <c r="O127" s="1">
        <f>(N127*10^-6)/D_Calculation_electrode_area!$B$19</f>
        <v>2.636038850692247E-3</v>
      </c>
      <c r="P127" s="1">
        <f t="shared" si="11"/>
        <v>9.6841161869447108E-9</v>
      </c>
      <c r="Q127" s="4">
        <f t="shared" si="7"/>
        <v>1.8063177369151343E-7</v>
      </c>
      <c r="R127" s="1">
        <f>(K127*10^-3/$W$3)*0.33</f>
        <v>2.6025529186176517E-3</v>
      </c>
      <c r="S127" s="1">
        <f>(J127*10^-3/$W$2)*0.941</f>
        <v>0</v>
      </c>
      <c r="T127" s="14">
        <f>R127+S127</f>
        <v>2.6025529186176517E-3</v>
      </c>
    </row>
    <row r="128" spans="1:20">
      <c r="A128" s="8" t="s">
        <v>74</v>
      </c>
      <c r="B128" s="57" t="s">
        <v>54</v>
      </c>
      <c r="C128" s="44">
        <v>23</v>
      </c>
      <c r="D128" s="1">
        <v>-757</v>
      </c>
      <c r="E128" s="1">
        <v>-473.1</v>
      </c>
      <c r="F128" s="1">
        <v>284.10000000000002</v>
      </c>
      <c r="G128" s="1">
        <v>5.34</v>
      </c>
      <c r="H128" s="1">
        <v>18.84</v>
      </c>
      <c r="I128" s="1">
        <v>8.27</v>
      </c>
      <c r="J128" s="1">
        <v>0</v>
      </c>
      <c r="K128" s="1">
        <f>84.1*8</f>
        <v>672.8</v>
      </c>
      <c r="L128" s="1">
        <v>20.2</v>
      </c>
      <c r="M128" s="1">
        <f>D128/1000</f>
        <v>-0.75700000000000001</v>
      </c>
      <c r="N128" s="1">
        <f>D128*M128</f>
        <v>573.04899999999998</v>
      </c>
      <c r="O128" s="1">
        <f>(N128*10^-6)/D_Calculation_electrode_area!$B$19</f>
        <v>4.5057477771481017E-2</v>
      </c>
      <c r="P128" s="4">
        <f t="shared" si="11"/>
        <v>2.1481271854810128E-8</v>
      </c>
      <c r="Q128" s="4">
        <f t="shared" si="7"/>
        <v>1.6688125804717675E-7</v>
      </c>
      <c r="R128" s="1">
        <f>(K128*10^-3/$W$3)*0.33</f>
        <v>2.3112428770405966E-3</v>
      </c>
      <c r="S128" s="1">
        <f>(J128*10^-3/$W$2)*0.941</f>
        <v>0</v>
      </c>
      <c r="T128" s="14">
        <f>R128+S128</f>
        <v>2.3112428770405966E-3</v>
      </c>
    </row>
    <row r="129" spans="1:20">
      <c r="A129" s="8" t="s">
        <v>75</v>
      </c>
      <c r="B129" s="57" t="s">
        <v>54</v>
      </c>
      <c r="C129" s="44">
        <v>23</v>
      </c>
      <c r="D129" s="1">
        <v>-706</v>
      </c>
      <c r="E129" s="1">
        <v>-415.2</v>
      </c>
      <c r="F129" s="1">
        <v>288.10000000000002</v>
      </c>
      <c r="G129" s="1">
        <v>5.68</v>
      </c>
      <c r="H129" s="1">
        <v>18.73</v>
      </c>
      <c r="I129" s="1">
        <v>8.3290000000000006</v>
      </c>
      <c r="J129" s="1">
        <v>0</v>
      </c>
      <c r="K129" s="1">
        <f>77*8</f>
        <v>616</v>
      </c>
      <c r="L129" s="1">
        <v>20.3</v>
      </c>
      <c r="M129" s="1">
        <f>D129/1000</f>
        <v>-0.70599999999999996</v>
      </c>
      <c r="N129" s="1">
        <f>D129*M129</f>
        <v>498.43599999999998</v>
      </c>
      <c r="O129" s="1">
        <f>(N129*10^-6)/D_Calculation_electrode_area!$B$19</f>
        <v>3.9190835322120643E-2</v>
      </c>
      <c r="P129" s="1">
        <f t="shared" si="11"/>
        <v>1.8752535285810516E-8</v>
      </c>
      <c r="Q129" s="4">
        <f t="shared" si="7"/>
        <v>1.7750665649961873E-7</v>
      </c>
      <c r="R129" s="1">
        <f>(K129*10^-3/$W$3)*0.33</f>
        <v>2.1161201133427575E-3</v>
      </c>
      <c r="S129" s="1">
        <f>(J129*10^-3/$W$2)*0.941</f>
        <v>0</v>
      </c>
      <c r="T129" s="14">
        <f>R129+S129</f>
        <v>2.1161201133427575E-3</v>
      </c>
    </row>
    <row r="130" spans="1:20">
      <c r="A130" s="8" t="s">
        <v>76</v>
      </c>
      <c r="B130" s="57" t="s">
        <v>54</v>
      </c>
      <c r="C130" s="44">
        <v>23</v>
      </c>
      <c r="D130" s="1">
        <v>-720</v>
      </c>
      <c r="E130" s="1">
        <v>-448.7</v>
      </c>
      <c r="F130" s="1">
        <v>266.2</v>
      </c>
      <c r="G130" s="1">
        <v>5.28</v>
      </c>
      <c r="H130" s="1">
        <v>18.84</v>
      </c>
      <c r="I130" s="1">
        <v>8.3330000000000002</v>
      </c>
      <c r="J130" s="1">
        <v>0</v>
      </c>
      <c r="K130" s="1">
        <f>77.8*8</f>
        <v>622.4</v>
      </c>
      <c r="L130" s="1">
        <v>20.3</v>
      </c>
      <c r="M130" s="1">
        <f>D130/1000</f>
        <v>-0.72</v>
      </c>
      <c r="N130" s="1">
        <f>D130*M130</f>
        <v>518.4</v>
      </c>
      <c r="O130" s="1">
        <f>(N130*10^-6)/D_Calculation_electrode_area!$B$19</f>
        <v>4.0760557084535104E-2</v>
      </c>
      <c r="P130" s="4">
        <f t="shared" si="11"/>
        <v>1.8580611008909964E-8</v>
      </c>
      <c r="Q130" s="4">
        <f t="shared" si="7"/>
        <v>1.6500618773203997E-7</v>
      </c>
      <c r="R130" s="1">
        <f>(K130*10^-3/$W$3)*0.33</f>
        <v>2.1381057768580071E-3</v>
      </c>
      <c r="S130" s="1">
        <f>(J130*10^-3/$W$2)*0.941</f>
        <v>0</v>
      </c>
      <c r="T130" s="14">
        <f>R130+S130</f>
        <v>2.1381057768580071E-3</v>
      </c>
    </row>
    <row r="131" spans="1:20">
      <c r="A131" s="8" t="s">
        <v>77</v>
      </c>
      <c r="B131" s="57" t="s">
        <v>54</v>
      </c>
      <c r="C131" s="44">
        <v>23</v>
      </c>
      <c r="D131" s="1"/>
      <c r="E131" s="1"/>
      <c r="F131" s="1"/>
      <c r="G131" s="1">
        <v>4.82</v>
      </c>
      <c r="H131" s="1">
        <v>18.73</v>
      </c>
      <c r="I131" s="1">
        <v>8.4670000000000005</v>
      </c>
      <c r="J131" s="1">
        <v>0</v>
      </c>
      <c r="K131" s="1">
        <f>76.1*8</f>
        <v>608.79999999999995</v>
      </c>
      <c r="L131" s="1">
        <v>20.3</v>
      </c>
      <c r="M131" s="1"/>
      <c r="N131" s="1"/>
      <c r="O131" s="1"/>
      <c r="P131" s="1">
        <f t="shared" si="11"/>
        <v>1.364771646487711E-8</v>
      </c>
      <c r="Q131" s="4">
        <f t="shared" ref="Q131:Q193" si="16">(G131*10^-6)/31.9988</f>
        <v>1.5063064864932435E-7</v>
      </c>
      <c r="R131" s="1">
        <f>(K131*10^-3/$W$3)*0.33</f>
        <v>2.0913862418881022E-3</v>
      </c>
      <c r="S131" s="1">
        <f>(J131*10^-3/$W$2)*0.941</f>
        <v>0</v>
      </c>
      <c r="T131" s="14">
        <f>R131+S131</f>
        <v>2.0913862418881022E-3</v>
      </c>
    </row>
    <row r="132" spans="1:20">
      <c r="A132" s="18" t="s">
        <v>78</v>
      </c>
      <c r="B132" s="57" t="s">
        <v>54</v>
      </c>
      <c r="C132" s="44">
        <v>23</v>
      </c>
      <c r="D132" s="1"/>
      <c r="E132" s="1"/>
      <c r="F132" s="1"/>
      <c r="G132" s="1">
        <v>4.3499999999999996</v>
      </c>
      <c r="H132" s="1">
        <v>18.559999999999999</v>
      </c>
      <c r="I132" s="1">
        <v>8.1880000000000006</v>
      </c>
      <c r="J132" s="1">
        <v>0</v>
      </c>
      <c r="K132" s="1">
        <f>69*8</f>
        <v>552</v>
      </c>
      <c r="L132" s="1">
        <v>20.399999999999999</v>
      </c>
      <c r="M132" s="1"/>
      <c r="N132" s="1"/>
      <c r="O132" s="1"/>
      <c r="P132" s="4">
        <f t="shared" si="11"/>
        <v>2.5945377341929479E-8</v>
      </c>
      <c r="Q132" s="4">
        <f t="shared" si="16"/>
        <v>1.3594259784741928E-7</v>
      </c>
      <c r="R132" s="1">
        <f>(K132*10^-3/$W$3)*0.33</f>
        <v>1.8962634781902637E-3</v>
      </c>
      <c r="S132" s="1">
        <f>(J132*10^-3/$W$2)*0.941</f>
        <v>0</v>
      </c>
      <c r="T132" s="14">
        <f>R132+S132</f>
        <v>1.8962634781902637E-3</v>
      </c>
    </row>
    <row r="133" spans="1:20">
      <c r="A133" s="18" t="s">
        <v>79</v>
      </c>
      <c r="B133" s="58" t="s">
        <v>54</v>
      </c>
      <c r="C133" s="66">
        <v>23</v>
      </c>
      <c r="D133" s="2"/>
      <c r="E133" s="2"/>
      <c r="F133" s="2"/>
      <c r="G133" s="2">
        <v>5.21</v>
      </c>
      <c r="H133" s="2">
        <v>18.940000000000001</v>
      </c>
      <c r="I133" s="2">
        <v>8.44</v>
      </c>
      <c r="J133" s="2">
        <v>0</v>
      </c>
      <c r="K133" s="2">
        <f>99.3*8</f>
        <v>794.4</v>
      </c>
      <c r="L133" s="2">
        <v>20.3</v>
      </c>
      <c r="M133" s="2"/>
      <c r="N133" s="2"/>
      <c r="O133" s="2"/>
      <c r="P133" s="1">
        <f t="shared" si="11"/>
        <v>1.4523122190804038E-8</v>
      </c>
      <c r="Q133" s="113">
        <f t="shared" si="16"/>
        <v>1.6281860569771366E-7</v>
      </c>
      <c r="R133" s="2">
        <f>(K133*10^-3/$W$3)*0.33</f>
        <v>2.7289704838303359E-3</v>
      </c>
      <c r="S133" s="2">
        <f>(J133*10^-3/$W$2)*0.941</f>
        <v>0</v>
      </c>
      <c r="T133" s="16">
        <f>R133+S133</f>
        <v>2.7289704838303359E-3</v>
      </c>
    </row>
    <row r="134" spans="1:20">
      <c r="A134" s="37" t="s">
        <v>68</v>
      </c>
      <c r="B134" s="87" t="s">
        <v>55</v>
      </c>
      <c r="C134" s="67">
        <v>25</v>
      </c>
      <c r="D134" s="12">
        <v>-225.3</v>
      </c>
      <c r="E134" s="12">
        <v>-19.559999999999999</v>
      </c>
      <c r="F134" s="12">
        <v>216.3</v>
      </c>
      <c r="G134" s="12">
        <v>4.1900000000000004</v>
      </c>
      <c r="H134" s="12">
        <v>18.809999999999999</v>
      </c>
      <c r="I134" s="12">
        <v>8.2370000000000001</v>
      </c>
      <c r="J134" s="12"/>
      <c r="K134" s="12"/>
      <c r="L134" s="12">
        <v>19.600000000000001</v>
      </c>
      <c r="M134" s="12">
        <f>D134/1000</f>
        <v>-0.2253</v>
      </c>
      <c r="N134" s="12">
        <f>D134*M134</f>
        <v>50.760090000000005</v>
      </c>
      <c r="O134" s="12">
        <f>(N134*10^-6)/D_Calculation_electrode_area!$B$19</f>
        <v>3.9911449576796685E-3</v>
      </c>
      <c r="P134" s="12">
        <f t="shared" si="11"/>
        <v>2.3177147857075221E-8</v>
      </c>
      <c r="Q134" s="4">
        <f t="shared" si="16"/>
        <v>1.3094241034038777E-7</v>
      </c>
      <c r="R134" s="12">
        <f>(K134*10^-3/$W$3)*0.33</f>
        <v>0</v>
      </c>
      <c r="S134" s="12">
        <f>(J134*10^-3/$W$2)*0.941</f>
        <v>0</v>
      </c>
      <c r="T134" s="36">
        <f>R134+S134</f>
        <v>0</v>
      </c>
    </row>
    <row r="135" spans="1:20">
      <c r="A135" s="8" t="s">
        <v>69</v>
      </c>
      <c r="B135" s="57" t="s">
        <v>55</v>
      </c>
      <c r="C135" s="44">
        <v>25</v>
      </c>
      <c r="D135" s="1">
        <v>-338.5</v>
      </c>
      <c r="E135" s="1">
        <v>-145.5</v>
      </c>
      <c r="F135" s="1">
        <v>194.1</v>
      </c>
      <c r="G135" s="1">
        <v>4.13</v>
      </c>
      <c r="H135" s="1">
        <v>18.239999999999998</v>
      </c>
      <c r="I135" s="1">
        <v>8.2430000000000003</v>
      </c>
      <c r="J135" s="1"/>
      <c r="K135" s="1"/>
      <c r="L135" s="1">
        <v>19.5</v>
      </c>
      <c r="M135" s="1">
        <f>D135/1000</f>
        <v>-0.33850000000000002</v>
      </c>
      <c r="N135" s="1">
        <f>D135*M135</f>
        <v>114.58225</v>
      </c>
      <c r="O135" s="1">
        <f>(N135*10^-6)/D_Calculation_electrode_area!$B$19</f>
        <v>9.0093293634249099E-3</v>
      </c>
      <c r="P135" s="1">
        <f t="shared" si="11"/>
        <v>2.2859145466874644E-8</v>
      </c>
      <c r="Q135" s="4">
        <f t="shared" si="16"/>
        <v>1.2906734002525094E-7</v>
      </c>
      <c r="R135" s="1">
        <f>(K135*10^-3/$W$3)*0.33</f>
        <v>0</v>
      </c>
      <c r="S135" s="1">
        <f>(J135*10^-3/$W$2)*0.941</f>
        <v>0</v>
      </c>
      <c r="T135" s="14">
        <f>R135+S135</f>
        <v>0</v>
      </c>
    </row>
    <row r="136" spans="1:20">
      <c r="A136" s="8" t="s">
        <v>70</v>
      </c>
      <c r="B136" s="57" t="s">
        <v>55</v>
      </c>
      <c r="C136" s="44">
        <v>25</v>
      </c>
      <c r="D136" s="1">
        <v>-466.9</v>
      </c>
      <c r="E136" s="1">
        <v>-256.7</v>
      </c>
      <c r="F136" s="1">
        <v>207.9</v>
      </c>
      <c r="G136" s="1">
        <v>5.96</v>
      </c>
      <c r="H136" s="1">
        <v>18.36</v>
      </c>
      <c r="I136" s="1">
        <v>8.3940000000000001</v>
      </c>
      <c r="J136" s="1"/>
      <c r="K136" s="1"/>
      <c r="L136" s="1">
        <v>19.3</v>
      </c>
      <c r="M136" s="1">
        <f>D136/1000</f>
        <v>-0.46689999999999998</v>
      </c>
      <c r="N136" s="1">
        <f>D136*M136</f>
        <v>217.99560999999997</v>
      </c>
      <c r="O136" s="1">
        <f>(N136*10^-6)/D_Calculation_electrode_area!$B$19</f>
        <v>1.7140475512312986E-2</v>
      </c>
      <c r="P136" s="1">
        <f t="shared" si="11"/>
        <v>1.6145815718704185E-8</v>
      </c>
      <c r="Q136" s="4">
        <f t="shared" si="16"/>
        <v>1.8625698463692388E-7</v>
      </c>
      <c r="R136" s="1">
        <f>(K136*10^-3/$W$3)*0.33</f>
        <v>0</v>
      </c>
      <c r="S136" s="1">
        <f>(J136*10^-3/$W$2)*0.941</f>
        <v>0</v>
      </c>
      <c r="T136" s="14">
        <f>R136+S136</f>
        <v>0</v>
      </c>
    </row>
    <row r="137" spans="1:20">
      <c r="A137" s="8" t="s">
        <v>71</v>
      </c>
      <c r="B137" s="57" t="s">
        <v>55</v>
      </c>
      <c r="C137" s="44">
        <v>25</v>
      </c>
      <c r="D137" s="1">
        <v>-303.5</v>
      </c>
      <c r="E137" s="1">
        <v>-123.8</v>
      </c>
      <c r="F137" s="1">
        <v>178.5</v>
      </c>
      <c r="G137" s="1">
        <v>6.29</v>
      </c>
      <c r="H137" s="1">
        <v>18.600000000000001</v>
      </c>
      <c r="I137" s="1">
        <v>8.4939999999999998</v>
      </c>
      <c r="J137" s="1"/>
      <c r="K137" s="1"/>
      <c r="L137" s="1">
        <v>19.5</v>
      </c>
      <c r="M137" s="1">
        <f>D137/1000</f>
        <v>-0.30349999999999999</v>
      </c>
      <c r="N137" s="1">
        <f>D137*M137</f>
        <v>92.112250000000003</v>
      </c>
      <c r="O137" s="1">
        <f>(N137*10^-6)/D_Calculation_electrode_area!$B$19</f>
        <v>7.2425667907213918E-3</v>
      </c>
      <c r="P137" s="1">
        <f t="shared" si="11"/>
        <v>1.2825077298021864E-8</v>
      </c>
      <c r="Q137" s="4">
        <f t="shared" si="16"/>
        <v>1.9656987137017637E-7</v>
      </c>
      <c r="R137" s="1">
        <f>(K137*10^-3/$W$3)*0.33</f>
        <v>0</v>
      </c>
      <c r="S137" s="1">
        <f>(J137*10^-3/$W$2)*0.941</f>
        <v>0</v>
      </c>
      <c r="T137" s="14">
        <f>R137+S137</f>
        <v>0</v>
      </c>
    </row>
    <row r="138" spans="1:20">
      <c r="A138" s="8" t="s">
        <v>72</v>
      </c>
      <c r="B138" s="57" t="s">
        <v>55</v>
      </c>
      <c r="C138" s="44">
        <v>25</v>
      </c>
      <c r="D138" s="1">
        <v>-204</v>
      </c>
      <c r="E138" s="1">
        <v>-231.8</v>
      </c>
      <c r="F138" s="1">
        <v>-24.41</v>
      </c>
      <c r="G138" s="1">
        <v>5.61</v>
      </c>
      <c r="H138" s="1">
        <v>18.100000000000001</v>
      </c>
      <c r="I138" s="1">
        <v>8.3330000000000002</v>
      </c>
      <c r="J138" s="1"/>
      <c r="K138" s="1"/>
      <c r="L138" s="1">
        <v>19.600000000000001</v>
      </c>
      <c r="M138" s="1">
        <f>D138/1000</f>
        <v>-0.20399999999999999</v>
      </c>
      <c r="N138" s="1">
        <f>D138*M138</f>
        <v>41.616</v>
      </c>
      <c r="O138" s="1">
        <f>(N138*10^-6)/D_Calculation_electrode_area!$B$19</f>
        <v>3.272166943730735E-3</v>
      </c>
      <c r="P138" s="1">
        <f t="shared" si="11"/>
        <v>1.8580611008909964E-8</v>
      </c>
      <c r="Q138" s="4">
        <f t="shared" si="16"/>
        <v>1.7531907446529244E-7</v>
      </c>
      <c r="R138" s="1">
        <f>(K138*10^-3/$W$3)*0.33</f>
        <v>0</v>
      </c>
      <c r="S138" s="1">
        <f>(J138*10^-3/$W$2)*0.941</f>
        <v>0</v>
      </c>
      <c r="T138" s="14">
        <f>R138+S138</f>
        <v>0</v>
      </c>
    </row>
    <row r="139" spans="1:20">
      <c r="A139" s="8" t="s">
        <v>73</v>
      </c>
      <c r="B139" s="57" t="s">
        <v>55</v>
      </c>
      <c r="C139" s="44">
        <v>25</v>
      </c>
      <c r="D139" s="1">
        <v>-130.4</v>
      </c>
      <c r="E139" s="1">
        <v>-86.8</v>
      </c>
      <c r="F139" s="1">
        <v>214.8</v>
      </c>
      <c r="G139" s="1">
        <v>6.33</v>
      </c>
      <c r="H139" s="1">
        <v>18.62</v>
      </c>
      <c r="I139" s="1">
        <v>8.4870000000000001</v>
      </c>
      <c r="J139" s="1"/>
      <c r="K139" s="1"/>
      <c r="L139" s="1">
        <v>19.5</v>
      </c>
      <c r="M139" s="1">
        <f>D139/1000</f>
        <v>-0.13040000000000002</v>
      </c>
      <c r="N139" s="1">
        <f>D139*M139</f>
        <v>17.004160000000002</v>
      </c>
      <c r="O139" s="1">
        <f>(N139*10^-6)/D_Calculation_electrode_area!$B$19</f>
        <v>1.3369965940481648E-3</v>
      </c>
      <c r="P139" s="1">
        <f t="shared" si="11"/>
        <v>1.3033468040080324E-8</v>
      </c>
      <c r="Q139" s="4">
        <f t="shared" si="16"/>
        <v>1.9781991824693425E-7</v>
      </c>
      <c r="R139" s="1">
        <f>(K139*10^-3/$W$3)*0.33</f>
        <v>0</v>
      </c>
      <c r="S139" s="1">
        <f>(J139*10^-3/$W$2)*0.941</f>
        <v>0</v>
      </c>
      <c r="T139" s="14">
        <f>R139+S139</f>
        <v>0</v>
      </c>
    </row>
    <row r="140" spans="1:20">
      <c r="A140" s="8" t="s">
        <v>74</v>
      </c>
      <c r="B140" s="57" t="s">
        <v>55</v>
      </c>
      <c r="C140" s="44">
        <v>25</v>
      </c>
      <c r="D140" s="1">
        <v>-749</v>
      </c>
      <c r="E140" s="1">
        <v>-461</v>
      </c>
      <c r="F140" s="1">
        <v>285.3</v>
      </c>
      <c r="G140" s="1">
        <v>6.68</v>
      </c>
      <c r="H140" s="1">
        <v>18.82</v>
      </c>
      <c r="I140" s="1">
        <v>8.2569999999999997</v>
      </c>
      <c r="J140" s="1"/>
      <c r="K140" s="1"/>
      <c r="L140" s="1">
        <v>19.7</v>
      </c>
      <c r="M140" s="1">
        <f>D140/1000</f>
        <v>-0.749</v>
      </c>
      <c r="N140" s="1">
        <f>D140*M140</f>
        <v>561.00099999999998</v>
      </c>
      <c r="O140" s="1">
        <f>(N140*10^-6)/D_Calculation_electrode_area!$B$19</f>
        <v>4.4110172231831175E-2</v>
      </c>
      <c r="P140" s="1">
        <f t="shared" si="11"/>
        <v>2.213400436862945E-8</v>
      </c>
      <c r="Q140" s="4">
        <f t="shared" si="16"/>
        <v>2.0875782841856568E-7</v>
      </c>
      <c r="R140" s="1">
        <f>(K140*10^-3/$W$3)*0.33</f>
        <v>0</v>
      </c>
      <c r="S140" s="1">
        <f>(J140*10^-3/$W$2)*0.941</f>
        <v>0</v>
      </c>
      <c r="T140" s="14">
        <f>R140+S140</f>
        <v>0</v>
      </c>
    </row>
    <row r="141" spans="1:20">
      <c r="A141" s="8" t="s">
        <v>75</v>
      </c>
      <c r="B141" s="57" t="s">
        <v>55</v>
      </c>
      <c r="C141" s="44">
        <v>25</v>
      </c>
      <c r="D141" s="1">
        <v>-669</v>
      </c>
      <c r="E141" s="1">
        <v>-333.9</v>
      </c>
      <c r="F141" s="1">
        <v>322.60000000000002</v>
      </c>
      <c r="G141" s="1">
        <v>5.36</v>
      </c>
      <c r="H141" s="1">
        <v>18.79</v>
      </c>
      <c r="I141" s="1">
        <v>8.1430000000000007</v>
      </c>
      <c r="J141" s="1"/>
      <c r="K141" s="1"/>
      <c r="L141" s="1">
        <v>19.7</v>
      </c>
      <c r="M141" s="1">
        <f>D141/1000</f>
        <v>-0.66900000000000004</v>
      </c>
      <c r="N141" s="1">
        <f>D141*M141</f>
        <v>447.56100000000004</v>
      </c>
      <c r="O141" s="1">
        <f>(N141*10^-6)/D_Calculation_electrode_area!$B$19</f>
        <v>3.519065526487581E-2</v>
      </c>
      <c r="P141" s="1">
        <f t="shared" si="11"/>
        <v>2.8777959120147906E-8</v>
      </c>
      <c r="Q141" s="4">
        <f t="shared" si="16"/>
        <v>1.6750628148555571E-7</v>
      </c>
      <c r="R141" s="1">
        <f>(K141*10^-3/$W$3)*0.33</f>
        <v>0</v>
      </c>
      <c r="S141" s="1">
        <f>(J141*10^-3/$W$2)*0.941</f>
        <v>0</v>
      </c>
      <c r="T141" s="14">
        <f>R141+S141</f>
        <v>0</v>
      </c>
    </row>
    <row r="142" spans="1:20">
      <c r="A142" s="8" t="s">
        <v>76</v>
      </c>
      <c r="B142" s="57" t="s">
        <v>55</v>
      </c>
      <c r="C142" s="44">
        <v>25</v>
      </c>
      <c r="D142" s="1">
        <v>-695</v>
      </c>
      <c r="E142" s="1">
        <v>-428.3</v>
      </c>
      <c r="F142" s="1">
        <v>271.2</v>
      </c>
      <c r="G142" s="1">
        <v>5.75</v>
      </c>
      <c r="H142" s="1">
        <v>18.829999999999998</v>
      </c>
      <c r="I142" s="1">
        <v>8.3179999999999996</v>
      </c>
      <c r="J142" s="1"/>
      <c r="K142" s="1"/>
      <c r="L142" s="1">
        <v>19.7</v>
      </c>
      <c r="M142" s="1">
        <f>D142/1000</f>
        <v>-0.69499999999999995</v>
      </c>
      <c r="N142" s="1">
        <f>D142*M142</f>
        <v>483.02499999999998</v>
      </c>
      <c r="O142" s="1">
        <f>(N142*10^-6)/D_Calculation_electrode_area!$B$19</f>
        <v>3.7979105103699014E-2</v>
      </c>
      <c r="P142" s="1">
        <f t="shared" si="11"/>
        <v>1.9233573937989127E-8</v>
      </c>
      <c r="Q142" s="4">
        <f t="shared" si="16"/>
        <v>1.7969423853394502E-7</v>
      </c>
      <c r="R142" s="1">
        <f>(K142*10^-3/$W$3)*0.33</f>
        <v>0</v>
      </c>
      <c r="S142" s="1">
        <f>(J142*10^-3/$W$2)*0.941</f>
        <v>0</v>
      </c>
      <c r="T142" s="14">
        <f>R142+S142</f>
        <v>0</v>
      </c>
    </row>
    <row r="143" spans="1:20">
      <c r="A143" s="8" t="s">
        <v>77</v>
      </c>
      <c r="B143" s="57" t="s">
        <v>55</v>
      </c>
      <c r="C143" s="44">
        <v>25</v>
      </c>
      <c r="D143" s="1"/>
      <c r="E143" s="1"/>
      <c r="F143" s="1"/>
      <c r="G143" s="1">
        <v>5.88</v>
      </c>
      <c r="H143" s="1">
        <v>18.77</v>
      </c>
      <c r="I143" s="1">
        <v>8.3239999999999998</v>
      </c>
      <c r="J143" s="1"/>
      <c r="K143" s="1"/>
      <c r="L143" s="1">
        <v>19.7</v>
      </c>
      <c r="M143" s="1"/>
      <c r="N143" s="1"/>
      <c r="O143" s="1"/>
      <c r="P143" s="1">
        <f t="shared" si="11"/>
        <v>1.8969679410409758E-8</v>
      </c>
      <c r="Q143" s="4">
        <f t="shared" si="16"/>
        <v>1.8375689088340811E-7</v>
      </c>
      <c r="R143" s="1">
        <f>(K143*10^-3/$W$3)*0.33</f>
        <v>0</v>
      </c>
      <c r="S143" s="1">
        <f>(J143*10^-3/$W$2)*0.941</f>
        <v>0</v>
      </c>
      <c r="T143" s="14">
        <f>R143+S143</f>
        <v>0</v>
      </c>
    </row>
    <row r="144" spans="1:20">
      <c r="A144" s="18" t="s">
        <v>78</v>
      </c>
      <c r="B144" s="57" t="s">
        <v>55</v>
      </c>
      <c r="C144" s="44">
        <v>25</v>
      </c>
      <c r="D144" s="1"/>
      <c r="E144" s="1"/>
      <c r="F144" s="1"/>
      <c r="G144" s="1">
        <v>5.37</v>
      </c>
      <c r="H144" s="1">
        <v>18.53</v>
      </c>
      <c r="I144" s="1">
        <v>8.2959999999999994</v>
      </c>
      <c r="J144" s="1"/>
      <c r="K144" s="1"/>
      <c r="L144" s="1">
        <v>19.7</v>
      </c>
      <c r="M144" s="1"/>
      <c r="N144" s="1"/>
      <c r="O144" s="1"/>
      <c r="P144" s="1">
        <f t="shared" ref="P144:P193" si="17">10^-I144*4</f>
        <v>2.0232986480124571E-8</v>
      </c>
      <c r="Q144" s="4">
        <f t="shared" si="16"/>
        <v>1.6781879320474519E-7</v>
      </c>
      <c r="R144" s="1">
        <f>(K144*10^-3/$W$3)*0.33</f>
        <v>0</v>
      </c>
      <c r="S144" s="1">
        <f>(J144*10^-3/$W$2)*0.941</f>
        <v>0</v>
      </c>
      <c r="T144" s="14">
        <f>R144+S144</f>
        <v>0</v>
      </c>
    </row>
    <row r="145" spans="1:20">
      <c r="A145" s="9" t="s">
        <v>79</v>
      </c>
      <c r="B145" s="86" t="s">
        <v>55</v>
      </c>
      <c r="C145" s="68">
        <v>25</v>
      </c>
      <c r="D145" s="3"/>
      <c r="E145" s="3"/>
      <c r="F145" s="3"/>
      <c r="G145" s="3">
        <v>5.9</v>
      </c>
      <c r="H145" s="3">
        <v>18.98</v>
      </c>
      <c r="I145" s="3">
        <v>8.2110000000000003</v>
      </c>
      <c r="J145" s="3"/>
      <c r="K145" s="3"/>
      <c r="L145" s="3">
        <v>19.7</v>
      </c>
      <c r="M145" s="3"/>
      <c r="N145" s="3"/>
      <c r="O145" s="3"/>
      <c r="P145" s="3">
        <f t="shared" si="17"/>
        <v>2.4607074908394628E-8</v>
      </c>
      <c r="Q145" s="113">
        <f t="shared" si="16"/>
        <v>1.8438191432178707E-7</v>
      </c>
      <c r="R145" s="3">
        <f>(K145*10^-3/$W$3)*0.33</f>
        <v>0</v>
      </c>
      <c r="S145" s="3">
        <f>(J145*10^-3/$W$2)*0.941</f>
        <v>0</v>
      </c>
      <c r="T145" s="15">
        <f>R145+S145</f>
        <v>0</v>
      </c>
    </row>
    <row r="146" spans="1:20">
      <c r="A146" s="17" t="s">
        <v>68</v>
      </c>
      <c r="B146" s="61" t="s">
        <v>57</v>
      </c>
      <c r="C146" s="70">
        <v>30</v>
      </c>
      <c r="D146" s="4">
        <v>-171.69</v>
      </c>
      <c r="E146" s="4">
        <v>33.101999999999997</v>
      </c>
      <c r="F146" s="4">
        <v>205.25</v>
      </c>
      <c r="G146" s="4">
        <v>6.03</v>
      </c>
      <c r="H146" s="4">
        <v>18.91</v>
      </c>
      <c r="I146" s="4">
        <v>8.2579999999999991</v>
      </c>
      <c r="J146" s="4">
        <v>0</v>
      </c>
      <c r="K146" s="4">
        <f>80.6*8</f>
        <v>644.79999999999995</v>
      </c>
      <c r="L146" s="4">
        <v>19.5</v>
      </c>
      <c r="M146" s="4">
        <f t="shared" ref="M143:M157" si="18">D146/1000</f>
        <v>-0.17169000000000001</v>
      </c>
      <c r="N146" s="4">
        <f t="shared" ref="N143:N157" si="19">D146*M146</f>
        <v>29.477456100000001</v>
      </c>
      <c r="O146" s="4">
        <f>(N146*10^-6)/D_Calculation_electrode_area!$B$19</f>
        <v>2.3177421529145983E-3</v>
      </c>
      <c r="P146" s="4">
        <f t="shared" si="17"/>
        <v>2.2083097571230263E-8</v>
      </c>
      <c r="Q146" s="4">
        <f t="shared" si="16"/>
        <v>1.8844456667125016E-7</v>
      </c>
      <c r="R146" s="4">
        <f>(K146*10^-3/$W$3)*0.33</f>
        <v>2.2150555991613803E-3</v>
      </c>
      <c r="S146" s="4">
        <f>(J146*10^-3/$W$2)*0.941</f>
        <v>0</v>
      </c>
      <c r="T146" s="19">
        <f>R146+S146</f>
        <v>2.2150555991613803E-3</v>
      </c>
    </row>
    <row r="147" spans="1:20">
      <c r="A147" s="8" t="s">
        <v>69</v>
      </c>
      <c r="B147" s="57" t="s">
        <v>57</v>
      </c>
      <c r="C147" s="44">
        <v>30</v>
      </c>
      <c r="D147" s="1">
        <v>-209.34</v>
      </c>
      <c r="E147" s="1">
        <v>32.423000000000002</v>
      </c>
      <c r="F147" s="1">
        <v>241.86</v>
      </c>
      <c r="G147" s="1">
        <v>5.51</v>
      </c>
      <c r="H147" s="1">
        <v>18.3</v>
      </c>
      <c r="I147" s="1">
        <v>8.4550000000000001</v>
      </c>
      <c r="J147" s="1">
        <v>0</v>
      </c>
      <c r="K147" s="1">
        <f>71.8*8</f>
        <v>574.4</v>
      </c>
      <c r="L147" s="1">
        <v>19.7</v>
      </c>
      <c r="M147" s="1">
        <f t="shared" si="18"/>
        <v>-0.20934</v>
      </c>
      <c r="N147" s="1">
        <f t="shared" si="19"/>
        <v>43.823235600000004</v>
      </c>
      <c r="O147" s="1">
        <f>(N147*10^-6)/D_Calculation_electrode_area!$B$19</f>
        <v>3.4457166209545358E-3</v>
      </c>
      <c r="P147" s="1">
        <f t="shared" si="17"/>
        <v>1.4030074958102708E-8</v>
      </c>
      <c r="Q147" s="4">
        <f t="shared" si="16"/>
        <v>1.7219395727339774E-7</v>
      </c>
      <c r="R147" s="1">
        <f>(K147*10^-3/$W$3)*0.33</f>
        <v>1.9732133004936366E-3</v>
      </c>
      <c r="S147" s="1">
        <f>(J147*10^-3/$W$2)*0.941</f>
        <v>0</v>
      </c>
      <c r="T147" s="14">
        <f>R147+S147</f>
        <v>1.9732133004936366E-3</v>
      </c>
    </row>
    <row r="148" spans="1:20">
      <c r="A148" s="8" t="s">
        <v>70</v>
      </c>
      <c r="B148" s="57" t="s">
        <v>57</v>
      </c>
      <c r="C148" s="44">
        <v>30</v>
      </c>
      <c r="D148" s="1">
        <v>-440.78</v>
      </c>
      <c r="E148" s="1">
        <v>-249.97</v>
      </c>
      <c r="F148" s="1">
        <v>191.86</v>
      </c>
      <c r="G148" s="1">
        <v>5.86</v>
      </c>
      <c r="H148" s="1">
        <v>18.37</v>
      </c>
      <c r="I148" s="1">
        <v>8.4849999999999994</v>
      </c>
      <c r="J148" s="1">
        <v>0</v>
      </c>
      <c r="K148" s="1">
        <f>70.1*8</f>
        <v>560.79999999999995</v>
      </c>
      <c r="L148" s="1">
        <v>19.600000000000001</v>
      </c>
      <c r="M148" s="1">
        <f t="shared" si="18"/>
        <v>-0.44077999999999995</v>
      </c>
      <c r="N148" s="1">
        <f t="shared" si="19"/>
        <v>194.28700839999996</v>
      </c>
      <c r="O148" s="1">
        <f>(N148*10^-6)/D_Calculation_electrode_area!$B$19</f>
        <v>1.5276324646357545E-2</v>
      </c>
      <c r="P148" s="4">
        <f t="shared" si="17"/>
        <v>1.3093627795153519E-8</v>
      </c>
      <c r="Q148" s="4">
        <f t="shared" si="16"/>
        <v>1.8313186744502917E-7</v>
      </c>
      <c r="R148" s="1">
        <f>(K148*10^-3/$W$3)*0.33</f>
        <v>1.9264937655237315E-3</v>
      </c>
      <c r="S148" s="1">
        <f>(J148*10^-3/$W$2)*0.941</f>
        <v>0</v>
      </c>
      <c r="T148" s="14">
        <f>R148+S148</f>
        <v>1.9264937655237315E-3</v>
      </c>
    </row>
    <row r="149" spans="1:20">
      <c r="A149" s="8" t="s">
        <v>71</v>
      </c>
      <c r="B149" s="57" t="s">
        <v>57</v>
      </c>
      <c r="C149" s="44">
        <v>30</v>
      </c>
      <c r="D149" s="1">
        <v>-299.98</v>
      </c>
      <c r="E149" s="1">
        <v>-207.67</v>
      </c>
      <c r="F149" s="1">
        <v>98.37</v>
      </c>
      <c r="G149" s="1">
        <v>5.99</v>
      </c>
      <c r="H149" s="1">
        <v>18.579999999999998</v>
      </c>
      <c r="I149" s="1">
        <v>8.5760000000000005</v>
      </c>
      <c r="J149" s="1">
        <v>0</v>
      </c>
      <c r="K149" s="1">
        <f>97.6*8</f>
        <v>780.8</v>
      </c>
      <c r="L149" s="1">
        <v>19.7</v>
      </c>
      <c r="M149" s="1">
        <f t="shared" si="18"/>
        <v>-0.29998000000000002</v>
      </c>
      <c r="N149" s="1">
        <f t="shared" si="19"/>
        <v>89.988000400000018</v>
      </c>
      <c r="O149" s="1">
        <f>(N149*10^-6)/D_Calculation_electrode_area!$B$19</f>
        <v>7.0755421049910668E-3</v>
      </c>
      <c r="P149" s="1">
        <f t="shared" si="17"/>
        <v>1.0618422247902115E-8</v>
      </c>
      <c r="Q149" s="4">
        <f t="shared" si="16"/>
        <v>1.8719451979449229E-7</v>
      </c>
      <c r="R149" s="1">
        <f>(K149*10^-3/$W$3)*0.33</f>
        <v>2.6822509488604305E-3</v>
      </c>
      <c r="S149" s="1">
        <f>(J149*10^-3/$W$2)*0.941</f>
        <v>0</v>
      </c>
      <c r="T149" s="14">
        <f>R149+S149</f>
        <v>2.6822509488604305E-3</v>
      </c>
    </row>
    <row r="150" spans="1:20">
      <c r="A150" s="8" t="s">
        <v>72</v>
      </c>
      <c r="B150" s="57" t="s">
        <v>57</v>
      </c>
      <c r="C150" s="44">
        <v>30</v>
      </c>
      <c r="D150" s="1">
        <v>-187.45</v>
      </c>
      <c r="E150" s="1">
        <v>-285.81</v>
      </c>
      <c r="F150" s="1">
        <v>-95.87</v>
      </c>
      <c r="G150" s="1">
        <v>5.85</v>
      </c>
      <c r="H150" s="1">
        <v>18.2</v>
      </c>
      <c r="I150" s="1">
        <v>8.4619999999999997</v>
      </c>
      <c r="J150" s="1">
        <v>0</v>
      </c>
      <c r="K150" s="1">
        <f>85.6*8</f>
        <v>684.8</v>
      </c>
      <c r="L150" s="1">
        <v>19.8</v>
      </c>
      <c r="M150" s="1">
        <f t="shared" si="18"/>
        <v>-0.18744999999999998</v>
      </c>
      <c r="N150" s="1">
        <f t="shared" si="19"/>
        <v>35.137502499999997</v>
      </c>
      <c r="O150" s="1">
        <f>(N150*10^-6)/D_Calculation_electrode_area!$B$19</f>
        <v>2.7627781181698403E-3</v>
      </c>
      <c r="P150" s="4">
        <f t="shared" si="17"/>
        <v>1.3805749573434219E-8</v>
      </c>
      <c r="Q150" s="4">
        <f t="shared" si="16"/>
        <v>1.8281935572583969E-7</v>
      </c>
      <c r="R150" s="1">
        <f>(K150*10^-3/$W$3)*0.33</f>
        <v>2.3524659961316891E-3</v>
      </c>
      <c r="S150" s="1">
        <f>(J150*10^-3/$W$2)*0.941</f>
        <v>0</v>
      </c>
      <c r="T150" s="14">
        <f>R150+S150</f>
        <v>2.3524659961316891E-3</v>
      </c>
    </row>
    <row r="151" spans="1:20">
      <c r="A151" s="8" t="s">
        <v>73</v>
      </c>
      <c r="B151" s="57" t="s">
        <v>57</v>
      </c>
      <c r="C151" s="44">
        <v>30</v>
      </c>
      <c r="D151" s="1">
        <v>-106.54</v>
      </c>
      <c r="E151" s="1">
        <v>120.21</v>
      </c>
      <c r="F151" s="1">
        <v>226.01</v>
      </c>
      <c r="G151" s="1">
        <v>6.42</v>
      </c>
      <c r="H151" s="1">
        <v>18.7</v>
      </c>
      <c r="I151" s="1">
        <v>8.5500000000000007</v>
      </c>
      <c r="J151" s="1">
        <v>0</v>
      </c>
      <c r="K151" s="1">
        <f>98*8</f>
        <v>784</v>
      </c>
      <c r="L151" s="1">
        <v>19.8</v>
      </c>
      <c r="M151" s="1">
        <f t="shared" si="18"/>
        <v>-0.10654000000000001</v>
      </c>
      <c r="N151" s="1">
        <f t="shared" si="19"/>
        <v>11.350771600000002</v>
      </c>
      <c r="O151" s="1">
        <f>(N151*10^-6)/D_Calculation_electrode_area!$B$19</f>
        <v>8.9248413147245372E-4</v>
      </c>
      <c r="P151" s="1">
        <f t="shared" si="17"/>
        <v>1.1273531725057776E-8</v>
      </c>
      <c r="Q151" s="4">
        <f t="shared" si="16"/>
        <v>2.0063252371963947E-7</v>
      </c>
      <c r="R151" s="1">
        <f>(K151*10^-3/$W$3)*0.33</f>
        <v>2.6932437806180556E-3</v>
      </c>
      <c r="S151" s="1">
        <f>(J151*10^-3/$W$2)*0.941</f>
        <v>0</v>
      </c>
      <c r="T151" s="14">
        <f>R151+S151</f>
        <v>2.6932437806180556E-3</v>
      </c>
    </row>
    <row r="152" spans="1:20">
      <c r="A152" s="8" t="s">
        <v>74</v>
      </c>
      <c r="B152" s="57" t="s">
        <v>57</v>
      </c>
      <c r="C152" s="44">
        <v>30</v>
      </c>
      <c r="D152" s="1">
        <v>-659.2</v>
      </c>
      <c r="E152" s="1">
        <v>421.8</v>
      </c>
      <c r="F152" s="1">
        <v>237.04</v>
      </c>
      <c r="G152" s="1">
        <v>5.82</v>
      </c>
      <c r="H152" s="1">
        <v>18.899999999999999</v>
      </c>
      <c r="I152" s="1">
        <v>8.3439999999999994</v>
      </c>
      <c r="J152" s="1">
        <v>0</v>
      </c>
      <c r="K152" s="1">
        <f>78.7*8</f>
        <v>629.6</v>
      </c>
      <c r="L152" s="1">
        <v>19.8</v>
      </c>
      <c r="M152" s="1">
        <f t="shared" si="18"/>
        <v>-0.65920000000000001</v>
      </c>
      <c r="N152" s="1">
        <f t="shared" si="19"/>
        <v>434.54464000000002</v>
      </c>
      <c r="O152" s="1">
        <f>(N152*10^-6)/D_Calculation_electrode_area!$B$19</f>
        <v>3.4167209885221372E-2</v>
      </c>
      <c r="P152" s="4">
        <f t="shared" si="17"/>
        <v>1.8115903196144806E-8</v>
      </c>
      <c r="Q152" s="4">
        <f t="shared" si="16"/>
        <v>1.8188182056827133E-7</v>
      </c>
      <c r="R152" s="1">
        <f>(K152*10^-3/$W$3)*0.33</f>
        <v>2.1628396483126628E-3</v>
      </c>
      <c r="S152" s="1">
        <f>(J152*10^-3/$W$2)*0.941</f>
        <v>0</v>
      </c>
      <c r="T152" s="14">
        <f>R152+S152</f>
        <v>2.1628396483126628E-3</v>
      </c>
    </row>
    <row r="153" spans="1:20">
      <c r="A153" s="8" t="s">
        <v>75</v>
      </c>
      <c r="B153" s="57" t="s">
        <v>57</v>
      </c>
      <c r="C153" s="44">
        <v>30</v>
      </c>
      <c r="D153" s="1">
        <v>-724.1</v>
      </c>
      <c r="E153" s="1">
        <v>-340.78</v>
      </c>
      <c r="F153" s="1">
        <v>382.58</v>
      </c>
      <c r="G153" s="1">
        <v>5.71</v>
      </c>
      <c r="H153" s="1">
        <v>18.760000000000002</v>
      </c>
      <c r="I153" s="1">
        <v>8.2360000000000007</v>
      </c>
      <c r="J153" s="1">
        <v>0</v>
      </c>
      <c r="K153" s="1">
        <f>86.9*8</f>
        <v>695.2</v>
      </c>
      <c r="L153" s="1">
        <v>19.899999999999999</v>
      </c>
      <c r="M153" s="1">
        <f t="shared" si="18"/>
        <v>-0.72410000000000008</v>
      </c>
      <c r="N153" s="1">
        <f t="shared" si="19"/>
        <v>524.32081000000005</v>
      </c>
      <c r="O153" s="1">
        <f>(N153*10^-6)/D_Calculation_electrode_area!$B$19</f>
        <v>4.1226096270475868E-2</v>
      </c>
      <c r="P153" s="1">
        <f t="shared" si="17"/>
        <v>2.3230576700852397E-8</v>
      </c>
      <c r="Q153" s="4">
        <f t="shared" si="16"/>
        <v>1.7844419165718715E-7</v>
      </c>
      <c r="R153" s="1">
        <f>(K153*10^-3/$W$3)*0.33</f>
        <v>2.3881926993439694E-3</v>
      </c>
      <c r="S153" s="1">
        <f>(J153*10^-3/$W$2)*0.941</f>
        <v>0</v>
      </c>
      <c r="T153" s="14">
        <f>R153+S153</f>
        <v>2.3881926993439694E-3</v>
      </c>
    </row>
    <row r="154" spans="1:20">
      <c r="A154" s="8" t="s">
        <v>76</v>
      </c>
      <c r="B154" s="57" t="s">
        <v>57</v>
      </c>
      <c r="C154" s="44">
        <v>30</v>
      </c>
      <c r="D154" s="1">
        <v>-619.6</v>
      </c>
      <c r="E154" s="1">
        <v>-349.39</v>
      </c>
      <c r="F154" s="1">
        <v>208.46</v>
      </c>
      <c r="G154" s="1">
        <v>5.7</v>
      </c>
      <c r="H154" s="1">
        <v>18.89</v>
      </c>
      <c r="I154" s="1">
        <v>8.36</v>
      </c>
      <c r="J154" s="1">
        <v>0</v>
      </c>
      <c r="K154" s="1">
        <f>79.3*8</f>
        <v>634.4</v>
      </c>
      <c r="L154" s="1">
        <v>20</v>
      </c>
      <c r="M154" s="1">
        <f t="shared" si="18"/>
        <v>-0.61960000000000004</v>
      </c>
      <c r="N154" s="1">
        <f t="shared" si="19"/>
        <v>383.90416000000005</v>
      </c>
      <c r="O154" s="1">
        <f>(N154*10^-6)/D_Calculation_electrode_area!$B$19</f>
        <v>3.0185469576910692E-2</v>
      </c>
      <c r="P154" s="4">
        <f t="shared" si="17"/>
        <v>1.7460633289606609E-8</v>
      </c>
      <c r="Q154" s="4">
        <f t="shared" si="16"/>
        <v>1.7813167993799767E-7</v>
      </c>
      <c r="R154" s="1">
        <f>(K154*10^-3/$W$3)*0.33</f>
        <v>2.1793288959491E-3</v>
      </c>
      <c r="S154" s="1">
        <f>(J154*10^-3/$W$2)*0.941</f>
        <v>0</v>
      </c>
      <c r="T154" s="14">
        <f>R154+S154</f>
        <v>2.1793288959491E-3</v>
      </c>
    </row>
    <row r="155" spans="1:20">
      <c r="A155" s="8" t="s">
        <v>77</v>
      </c>
      <c r="B155" s="57" t="s">
        <v>57</v>
      </c>
      <c r="C155" s="44">
        <v>30</v>
      </c>
      <c r="D155" s="1"/>
      <c r="E155" s="1"/>
      <c r="F155" s="1"/>
      <c r="G155" s="1">
        <v>5.65</v>
      </c>
      <c r="H155" s="1">
        <v>18.829999999999998</v>
      </c>
      <c r="I155" s="1">
        <v>8.4079999999999995</v>
      </c>
      <c r="J155" s="1">
        <v>0</v>
      </c>
      <c r="K155" s="1">
        <f>80.4*8</f>
        <v>643.20000000000005</v>
      </c>
      <c r="L155" s="1">
        <v>19.899999999999999</v>
      </c>
      <c r="M155" s="1"/>
      <c r="N155" s="1"/>
      <c r="O155" s="1"/>
      <c r="P155" s="1">
        <f t="shared" si="17"/>
        <v>1.5633635831696081E-8</v>
      </c>
      <c r="Q155" s="4">
        <f t="shared" si="16"/>
        <v>1.7656912134205034E-7</v>
      </c>
      <c r="R155" s="1">
        <f>(K155*10^-3/$W$3)*0.33</f>
        <v>2.2095591832825682E-3</v>
      </c>
      <c r="S155" s="1">
        <f>(J155*10^-3/$W$2)*0.941</f>
        <v>0</v>
      </c>
      <c r="T155" s="14">
        <f>R155+S155</f>
        <v>2.2095591832825682E-3</v>
      </c>
    </row>
    <row r="156" spans="1:20">
      <c r="A156" s="18" t="s">
        <v>78</v>
      </c>
      <c r="B156" s="57" t="s">
        <v>57</v>
      </c>
      <c r="C156" s="44">
        <v>30</v>
      </c>
      <c r="D156" s="1"/>
      <c r="E156" s="1"/>
      <c r="F156" s="1"/>
      <c r="G156" s="1">
        <v>5.81</v>
      </c>
      <c r="H156" s="1">
        <v>18.55</v>
      </c>
      <c r="I156" s="1">
        <v>8.4339999999999993</v>
      </c>
      <c r="J156" s="1">
        <v>0</v>
      </c>
      <c r="K156" s="1">
        <f>89.6*8</f>
        <v>716.8</v>
      </c>
      <c r="L156" s="1">
        <v>19.899999999999999</v>
      </c>
      <c r="M156" s="1"/>
      <c r="N156" s="1"/>
      <c r="O156" s="1"/>
      <c r="P156" s="4">
        <f t="shared" si="17"/>
        <v>1.472515894570125E-8</v>
      </c>
      <c r="Q156" s="4">
        <f t="shared" si="16"/>
        <v>1.8156930884908182E-7</v>
      </c>
      <c r="R156" s="1">
        <f>(K156*10^-3/$W$3)*0.33</f>
        <v>2.4623943137079361E-3</v>
      </c>
      <c r="S156" s="1">
        <f>(J156*10^-3/$W$2)*0.941</f>
        <v>0</v>
      </c>
      <c r="T156" s="14">
        <f>R156+S156</f>
        <v>2.4623943137079361E-3</v>
      </c>
    </row>
    <row r="157" spans="1:20">
      <c r="A157" s="18" t="s">
        <v>79</v>
      </c>
      <c r="B157" s="58" t="s">
        <v>57</v>
      </c>
      <c r="C157" s="66">
        <v>30</v>
      </c>
      <c r="D157" s="2"/>
      <c r="E157" s="2"/>
      <c r="F157" s="2"/>
      <c r="G157" s="2">
        <v>6.01</v>
      </c>
      <c r="H157" s="2">
        <v>19.05</v>
      </c>
      <c r="I157" s="2">
        <v>8.3550000000000004</v>
      </c>
      <c r="J157" s="2">
        <v>0</v>
      </c>
      <c r="K157" s="2">
        <f>76.2*8</f>
        <v>609.6</v>
      </c>
      <c r="L157" s="2">
        <v>19.899999999999999</v>
      </c>
      <c r="M157" s="2"/>
      <c r="N157" s="2"/>
      <c r="O157" s="2"/>
      <c r="P157" s="1">
        <f t="shared" si="17"/>
        <v>1.7662817894132468E-8</v>
      </c>
      <c r="Q157" s="113">
        <f t="shared" si="16"/>
        <v>1.878195432328712E-7</v>
      </c>
      <c r="R157" s="2">
        <f>(K157*10^-3/$W$3)*0.33</f>
        <v>2.0941344498275087E-3</v>
      </c>
      <c r="S157" s="2">
        <f>(J157*10^-3/$W$2)*0.941</f>
        <v>0</v>
      </c>
      <c r="T157" s="16">
        <f>R157+S157</f>
        <v>2.0941344498275087E-3</v>
      </c>
    </row>
    <row r="158" spans="1:20">
      <c r="A158" s="37" t="s">
        <v>68</v>
      </c>
      <c r="B158" s="59">
        <v>11.4</v>
      </c>
      <c r="C158" s="67">
        <v>35</v>
      </c>
      <c r="D158" s="12">
        <v>-423.16</v>
      </c>
      <c r="E158" s="12">
        <v>-164.84</v>
      </c>
      <c r="F158" s="12">
        <v>259.26</v>
      </c>
      <c r="G158" s="12">
        <v>5.24</v>
      </c>
      <c r="H158" s="12">
        <v>19.100000000000001</v>
      </c>
      <c r="I158" s="12">
        <v>8.3870000000000005</v>
      </c>
      <c r="J158" s="12">
        <v>0</v>
      </c>
      <c r="K158" s="12">
        <f>83.6*8</f>
        <v>668.8</v>
      </c>
      <c r="L158" s="12">
        <v>19.7</v>
      </c>
      <c r="M158" s="12">
        <f>D158/4700</f>
        <v>-9.0034042553191501E-2</v>
      </c>
      <c r="N158" s="12">
        <f t="shared" ref="N158:N169" si="20">D158*M158</f>
        <v>38.09880544680852</v>
      </c>
      <c r="O158" s="12">
        <f>(N158*10^-6)/D_Calculation_electrode_area!$B$19</f>
        <v>2.9956183145587113E-3</v>
      </c>
      <c r="P158" s="12">
        <f t="shared" si="17"/>
        <v>1.6408164119464223E-8</v>
      </c>
      <c r="Q158" s="4">
        <f t="shared" si="16"/>
        <v>1.6375614085528207E-7</v>
      </c>
      <c r="R158" s="12">
        <f>(K158*10^-3/$W$3)*0.33</f>
        <v>2.2975018373435655E-3</v>
      </c>
      <c r="S158" s="12">
        <f>(J158*10^-3/$W$2)*0.941</f>
        <v>0</v>
      </c>
      <c r="T158" s="36">
        <f>R158+S158</f>
        <v>2.2975018373435655E-3</v>
      </c>
    </row>
    <row r="159" spans="1:20">
      <c r="A159" s="8" t="s">
        <v>69</v>
      </c>
      <c r="B159" s="57">
        <v>11.4</v>
      </c>
      <c r="C159" s="44">
        <v>35</v>
      </c>
      <c r="D159" s="1">
        <v>-150.38</v>
      </c>
      <c r="E159" s="1">
        <v>80.260000000000005</v>
      </c>
      <c r="F159" s="1">
        <v>218.51</v>
      </c>
      <c r="G159" s="1">
        <v>5.22</v>
      </c>
      <c r="H159" s="1">
        <v>18.48</v>
      </c>
      <c r="I159" s="1">
        <v>8.516</v>
      </c>
      <c r="J159" s="1">
        <v>0</v>
      </c>
      <c r="K159" s="1">
        <f>74.7*8</f>
        <v>597.6</v>
      </c>
      <c r="L159" s="1">
        <v>19.600000000000001</v>
      </c>
      <c r="M159" s="1">
        <f t="shared" ref="M158:M169" si="21">D159/1000</f>
        <v>-0.15037999999999999</v>
      </c>
      <c r="N159" s="1">
        <f t="shared" si="20"/>
        <v>22.614144399999997</v>
      </c>
      <c r="O159" s="1">
        <f>(N159*10^-6)/D_Calculation_electrode_area!$B$19</f>
        <v>1.7780963034994598E-3</v>
      </c>
      <c r="P159" s="1">
        <f t="shared" si="17"/>
        <v>1.219157995851192E-8</v>
      </c>
      <c r="Q159" s="4">
        <f t="shared" si="16"/>
        <v>1.6313111741690311E-7</v>
      </c>
      <c r="R159" s="1">
        <f>(K159*10^-3/$W$3)*0.33</f>
        <v>2.0529113307364158E-3</v>
      </c>
      <c r="S159" s="1">
        <f>(J159*10^-3/$W$2)*0.941</f>
        <v>0</v>
      </c>
      <c r="T159" s="14">
        <f>R159+S159</f>
        <v>2.0529113307364158E-3</v>
      </c>
    </row>
    <row r="160" spans="1:20">
      <c r="A160" s="8" t="s">
        <v>70</v>
      </c>
      <c r="B160" s="57">
        <v>11.4</v>
      </c>
      <c r="C160" s="44">
        <v>35</v>
      </c>
      <c r="D160" s="1">
        <v>-289.57</v>
      </c>
      <c r="E160" s="1">
        <v>-104.5</v>
      </c>
      <c r="F160" s="1">
        <v>175.21</v>
      </c>
      <c r="G160" s="1">
        <v>6.11</v>
      </c>
      <c r="H160" s="1">
        <v>18.440000000000001</v>
      </c>
      <c r="I160" s="1">
        <v>8.5410000000000004</v>
      </c>
      <c r="J160" s="1">
        <v>0</v>
      </c>
      <c r="K160" s="1">
        <f>88.4*8</f>
        <v>707.2</v>
      </c>
      <c r="L160" s="1">
        <v>19.600000000000001</v>
      </c>
      <c r="M160" s="1">
        <f>D160/560</f>
        <v>-0.5170892857142857</v>
      </c>
      <c r="N160" s="1">
        <f t="shared" si="20"/>
        <v>149.7335444642857</v>
      </c>
      <c r="O160" s="1">
        <f>(N160*10^-6)/D_Calculation_electrode_area!$B$19</f>
        <v>1.1773191910891769E-2</v>
      </c>
      <c r="P160" s="1">
        <f t="shared" si="17"/>
        <v>1.1509593658942627E-8</v>
      </c>
      <c r="Q160" s="4">
        <f t="shared" si="16"/>
        <v>1.9094466042476593E-7</v>
      </c>
      <c r="R160" s="1">
        <f>(K160*10^-3/$W$3)*0.33</f>
        <v>2.4294158184350622E-3</v>
      </c>
      <c r="S160" s="1">
        <f>(J160*10^-3/$W$2)*0.941</f>
        <v>0</v>
      </c>
      <c r="T160" s="14">
        <f>R160+S160</f>
        <v>2.4294158184350622E-3</v>
      </c>
    </row>
    <row r="161" spans="1:20">
      <c r="A161" s="8" t="s">
        <v>71</v>
      </c>
      <c r="B161" s="57">
        <v>11.4</v>
      </c>
      <c r="C161" s="44">
        <v>35</v>
      </c>
      <c r="D161" s="1">
        <v>-291.51</v>
      </c>
      <c r="E161" s="1">
        <v>-178.84</v>
      </c>
      <c r="F161" s="1">
        <v>120.1</v>
      </c>
      <c r="G161" s="1">
        <v>6.27</v>
      </c>
      <c r="H161" s="1">
        <v>18.77</v>
      </c>
      <c r="I161" s="1">
        <v>8.5429999999999993</v>
      </c>
      <c r="J161" s="1">
        <v>0</v>
      </c>
      <c r="K161" s="1">
        <f>90.1*8</f>
        <v>720.8</v>
      </c>
      <c r="L161" s="1">
        <v>19.899999999999999</v>
      </c>
      <c r="M161" s="1">
        <f t="shared" si="21"/>
        <v>-0.29150999999999999</v>
      </c>
      <c r="N161" s="1">
        <f t="shared" si="20"/>
        <v>84.9780801</v>
      </c>
      <c r="O161" s="1">
        <f>(N161*10^-6)/D_Calculation_electrode_area!$B$19</f>
        <v>6.6816240062697665E-3</v>
      </c>
      <c r="P161" s="1">
        <f t="shared" si="17"/>
        <v>1.1456711879626338E-8</v>
      </c>
      <c r="Q161" s="4">
        <f t="shared" si="16"/>
        <v>1.9594484793179741E-7</v>
      </c>
      <c r="R161" s="1">
        <f>(K161*10^-3/$W$3)*0.33</f>
        <v>2.4761353534049672E-3</v>
      </c>
      <c r="S161" s="1">
        <f>(J161*10^-3/$W$2)*0.941</f>
        <v>0</v>
      </c>
      <c r="T161" s="14">
        <f>R161+S161</f>
        <v>2.4761353534049672E-3</v>
      </c>
    </row>
    <row r="162" spans="1:20">
      <c r="A162" s="8" t="s">
        <v>72</v>
      </c>
      <c r="B162" s="57">
        <v>11.4</v>
      </c>
      <c r="C162" s="44">
        <v>35</v>
      </c>
      <c r="D162" s="1">
        <v>-499.81</v>
      </c>
      <c r="E162" s="1">
        <v>-344.58</v>
      </c>
      <c r="F162" s="1">
        <v>156.1</v>
      </c>
      <c r="G162" s="1">
        <v>5.8</v>
      </c>
      <c r="H162" s="1">
        <v>18.46</v>
      </c>
      <c r="I162" s="1">
        <v>8.4329999999999998</v>
      </c>
      <c r="J162" s="1">
        <v>0</v>
      </c>
      <c r="K162" s="1">
        <f>80.9*8</f>
        <v>647.20000000000005</v>
      </c>
      <c r="L162" s="1">
        <v>19.8</v>
      </c>
      <c r="M162" s="1">
        <f>D162/4700</f>
        <v>-0.10634255319148936</v>
      </c>
      <c r="N162" s="1">
        <f t="shared" si="20"/>
        <v>53.151071510638296</v>
      </c>
      <c r="O162" s="1">
        <f>(N162*10^-6)/D_Calculation_electrode_area!$B$19</f>
        <v>4.1791421381434796E-3</v>
      </c>
      <c r="P162" s="1">
        <f t="shared" si="17"/>
        <v>1.4759103942806016E-8</v>
      </c>
      <c r="Q162" s="4">
        <f t="shared" si="16"/>
        <v>1.8125679712989237E-7</v>
      </c>
      <c r="R162" s="1">
        <f>(K162*10^-3/$W$3)*0.33</f>
        <v>2.2233002229795989E-3</v>
      </c>
      <c r="S162" s="1">
        <f>(J162*10^-3/$W$2)*0.941</f>
        <v>0</v>
      </c>
      <c r="T162" s="14">
        <f>R162+S162</f>
        <v>2.2233002229795989E-3</v>
      </c>
    </row>
    <row r="163" spans="1:20">
      <c r="A163" s="8" t="s">
        <v>73</v>
      </c>
      <c r="B163" s="57">
        <v>11.4</v>
      </c>
      <c r="C163" s="44">
        <v>35</v>
      </c>
      <c r="D163" s="1">
        <v>-237.8</v>
      </c>
      <c r="E163" s="1">
        <v>47.54</v>
      </c>
      <c r="F163" s="1">
        <v>284.42</v>
      </c>
      <c r="G163" s="1">
        <v>6.56</v>
      </c>
      <c r="H163" s="1">
        <v>18.88</v>
      </c>
      <c r="I163" s="1">
        <v>8.5259999999999998</v>
      </c>
      <c r="J163" s="1">
        <v>0</v>
      </c>
      <c r="K163" s="1">
        <f>87.5*8</f>
        <v>700</v>
      </c>
      <c r="L163" s="1">
        <v>19.8</v>
      </c>
      <c r="M163" s="1">
        <f>D163/6800</f>
        <v>-3.4970588235294121E-2</v>
      </c>
      <c r="N163" s="1">
        <f t="shared" si="20"/>
        <v>8.3160058823529432</v>
      </c>
      <c r="O163" s="1">
        <f>(N163*10^-6)/D_Calculation_electrode_area!$B$19</f>
        <v>6.538677324131498E-4</v>
      </c>
      <c r="P163" s="1">
        <f t="shared" si="17"/>
        <v>1.1914065717716747E-8</v>
      </c>
      <c r="Q163" s="4">
        <f t="shared" si="16"/>
        <v>2.0500768778829204E-7</v>
      </c>
      <c r="R163" s="1">
        <f>(K163*10^-3/$W$3)*0.33</f>
        <v>2.4046819469804069E-3</v>
      </c>
      <c r="S163" s="1">
        <f>(J163*10^-3/$W$2)*0.941</f>
        <v>0</v>
      </c>
      <c r="T163" s="14">
        <f>R163+S163</f>
        <v>2.4046819469804069E-3</v>
      </c>
    </row>
    <row r="164" spans="1:20">
      <c r="A164" s="8" t="s">
        <v>74</v>
      </c>
      <c r="B164" s="57">
        <v>11.4</v>
      </c>
      <c r="C164" s="44">
        <v>35</v>
      </c>
      <c r="D164" s="1">
        <v>-682</v>
      </c>
      <c r="E164" s="1">
        <v>-400.38</v>
      </c>
      <c r="F164" s="1">
        <v>281.72000000000003</v>
      </c>
      <c r="G164" s="1">
        <v>5.81</v>
      </c>
      <c r="H164" s="1">
        <v>19.010000000000002</v>
      </c>
      <c r="I164" s="1">
        <v>8.3019999999999996</v>
      </c>
      <c r="J164" s="1">
        <v>0</v>
      </c>
      <c r="K164" s="1">
        <f>80.3*8</f>
        <v>642.4</v>
      </c>
      <c r="L164" s="1">
        <v>19.8</v>
      </c>
      <c r="M164" s="1">
        <f t="shared" si="21"/>
        <v>-0.68200000000000005</v>
      </c>
      <c r="N164" s="1">
        <f t="shared" si="20"/>
        <v>465.12400000000002</v>
      </c>
      <c r="O164" s="1">
        <f>(N164*10^-6)/D_Calculation_electrode_area!$B$19</f>
        <v>3.657159211687367E-2</v>
      </c>
      <c r="P164" s="1">
        <f t="shared" si="17"/>
        <v>1.9955379498400483E-8</v>
      </c>
      <c r="Q164" s="4">
        <f t="shared" si="16"/>
        <v>1.8156930884908182E-7</v>
      </c>
      <c r="R164" s="1">
        <f>(K164*10^-3/$W$3)*0.33</f>
        <v>2.2068109753431617E-3</v>
      </c>
      <c r="S164" s="1">
        <f>(J164*10^-3/$W$2)*0.941</f>
        <v>0</v>
      </c>
      <c r="T164" s="14">
        <f>R164+S164</f>
        <v>2.2068109753431617E-3</v>
      </c>
    </row>
    <row r="165" spans="1:20">
      <c r="A165" s="8" t="s">
        <v>75</v>
      </c>
      <c r="B165" s="57">
        <v>11.4</v>
      </c>
      <c r="C165" s="44">
        <v>35</v>
      </c>
      <c r="D165" s="1">
        <v>-763.6</v>
      </c>
      <c r="E165" s="1">
        <v>-340.91</v>
      </c>
      <c r="F165" s="1">
        <v>420.49</v>
      </c>
      <c r="G165" s="1">
        <v>5.74</v>
      </c>
      <c r="H165" s="1">
        <v>18.829999999999998</v>
      </c>
      <c r="I165" s="1">
        <v>8.3360000000000003</v>
      </c>
      <c r="J165" s="1">
        <v>0</v>
      </c>
      <c r="K165" s="1">
        <f>99.6*8</f>
        <v>796.8</v>
      </c>
      <c r="L165" s="1">
        <v>20</v>
      </c>
      <c r="M165" s="1">
        <f t="shared" si="21"/>
        <v>-0.76360000000000006</v>
      </c>
      <c r="N165" s="1">
        <f t="shared" si="20"/>
        <v>583.08496000000002</v>
      </c>
      <c r="O165" s="1">
        <f>(N165*10^-6)/D_Calculation_electrode_area!$B$19</f>
        <v>4.5846581398946512E-2</v>
      </c>
      <c r="P165" s="1">
        <f t="shared" si="17"/>
        <v>1.8452702982415124E-8</v>
      </c>
      <c r="Q165" s="4">
        <f t="shared" si="16"/>
        <v>1.7938172681475556E-7</v>
      </c>
      <c r="R165" s="1">
        <f>(K165*10^-3/$W$3)*0.33</f>
        <v>2.7372151076485544E-3</v>
      </c>
      <c r="S165" s="1">
        <f>(J165*10^-3/$W$2)*0.941</f>
        <v>0</v>
      </c>
      <c r="T165" s="14">
        <f>R165+S165</f>
        <v>2.7372151076485544E-3</v>
      </c>
    </row>
    <row r="166" spans="1:20">
      <c r="A166" s="8" t="s">
        <v>76</v>
      </c>
      <c r="B166" s="57">
        <v>11.4</v>
      </c>
      <c r="C166" s="44">
        <v>35</v>
      </c>
      <c r="D166" s="1">
        <v>-630.29999999999995</v>
      </c>
      <c r="E166" s="1">
        <v>-357.68</v>
      </c>
      <c r="F166" s="1">
        <v>266.61</v>
      </c>
      <c r="G166" s="1">
        <v>5.81</v>
      </c>
      <c r="H166" s="1">
        <v>19.03</v>
      </c>
      <c r="I166" s="1">
        <v>8.391</v>
      </c>
      <c r="J166" s="1">
        <v>0</v>
      </c>
      <c r="K166" s="1">
        <f>80.2*8</f>
        <v>641.6</v>
      </c>
      <c r="L166" s="1">
        <v>19.899999999999999</v>
      </c>
      <c r="M166" s="1">
        <f t="shared" si="21"/>
        <v>-0.63029999999999997</v>
      </c>
      <c r="N166" s="1">
        <f t="shared" si="20"/>
        <v>397.27808999999996</v>
      </c>
      <c r="O166" s="1">
        <f>(N166*10^-6)/D_Calculation_electrode_area!$B$19</f>
        <v>3.1237029833873602E-2</v>
      </c>
      <c r="P166" s="1">
        <f t="shared" si="17"/>
        <v>1.6257733166608472E-8</v>
      </c>
      <c r="Q166" s="4">
        <f t="shared" si="16"/>
        <v>1.8156930884908182E-7</v>
      </c>
      <c r="R166" s="1">
        <f>(K166*10^-3/$W$3)*0.33</f>
        <v>2.2040627674037557E-3</v>
      </c>
      <c r="S166" s="1">
        <f>(J166*10^-3/$W$2)*0.941</f>
        <v>0</v>
      </c>
      <c r="T166" s="14">
        <f>R166+S166</f>
        <v>2.2040627674037557E-3</v>
      </c>
    </row>
    <row r="167" spans="1:20">
      <c r="A167" s="8" t="s">
        <v>77</v>
      </c>
      <c r="B167" s="57">
        <v>11.4</v>
      </c>
      <c r="C167" s="44">
        <v>35</v>
      </c>
      <c r="D167" s="1"/>
      <c r="E167" s="1"/>
      <c r="F167" s="1"/>
      <c r="G167" s="1">
        <v>6.59</v>
      </c>
      <c r="H167" s="1">
        <v>18.96</v>
      </c>
      <c r="I167" s="1">
        <v>8.4090000000000007</v>
      </c>
      <c r="J167" s="1">
        <v>0</v>
      </c>
      <c r="K167" s="1">
        <f>81.6*8</f>
        <v>652.79999999999995</v>
      </c>
      <c r="L167" s="1">
        <v>19.899999999999999</v>
      </c>
      <c r="M167" s="1"/>
      <c r="N167" s="1"/>
      <c r="O167" s="1"/>
      <c r="P167" s="1">
        <f t="shared" si="17"/>
        <v>1.5597679467061669E-8</v>
      </c>
      <c r="Q167" s="4">
        <f t="shared" si="16"/>
        <v>2.0594522294586046E-7</v>
      </c>
      <c r="R167" s="1">
        <f>(K167*10^-3/$W$3)*0.33</f>
        <v>2.2425376785554416E-3</v>
      </c>
      <c r="S167" s="1">
        <f>(J167*10^-3/$W$2)*0.941</f>
        <v>0</v>
      </c>
      <c r="T167" s="14">
        <f>R167+S167</f>
        <v>2.2425376785554416E-3</v>
      </c>
    </row>
    <row r="168" spans="1:20">
      <c r="A168" s="8" t="s">
        <v>78</v>
      </c>
      <c r="B168" s="57">
        <v>11.4</v>
      </c>
      <c r="C168" s="44">
        <v>35</v>
      </c>
      <c r="D168" s="1"/>
      <c r="E168" s="1"/>
      <c r="F168" s="1"/>
      <c r="G168" s="1">
        <v>5.89</v>
      </c>
      <c r="H168" s="1">
        <v>18.71</v>
      </c>
      <c r="I168" s="1">
        <v>8.4369999999999994</v>
      </c>
      <c r="J168" s="1">
        <v>0</v>
      </c>
      <c r="K168" s="1">
        <f>69.7*8</f>
        <v>557.6</v>
      </c>
      <c r="L168" s="1">
        <v>19.899999999999999</v>
      </c>
      <c r="M168" s="1"/>
      <c r="N168" s="1"/>
      <c r="O168" s="1"/>
      <c r="P168" s="1">
        <f t="shared" si="17"/>
        <v>1.462379166452501E-8</v>
      </c>
      <c r="Q168" s="4">
        <f t="shared" si="16"/>
        <v>1.8406940260259759E-7</v>
      </c>
      <c r="R168" s="1">
        <f>(K168*10^-3/$W$3)*0.33</f>
        <v>1.9155009337661066E-3</v>
      </c>
      <c r="S168" s="1">
        <f>(J168*10^-3/$W$2)*0.941</f>
        <v>0</v>
      </c>
      <c r="T168" s="14">
        <f>R168+S168</f>
        <v>1.9155009337661066E-3</v>
      </c>
    </row>
    <row r="169" spans="1:20">
      <c r="A169" s="9" t="s">
        <v>79</v>
      </c>
      <c r="B169" s="60">
        <v>11.4</v>
      </c>
      <c r="C169" s="68">
        <v>35</v>
      </c>
      <c r="D169" s="3"/>
      <c r="E169" s="3"/>
      <c r="F169" s="3"/>
      <c r="G169" s="3">
        <v>6.18</v>
      </c>
      <c r="H169" s="3">
        <v>19.18</v>
      </c>
      <c r="I169" s="3">
        <v>8.3179999999999996</v>
      </c>
      <c r="J169" s="3">
        <v>0</v>
      </c>
      <c r="K169" s="3">
        <f>83.6*8</f>
        <v>668.8</v>
      </c>
      <c r="L169" s="3">
        <v>19.899999999999999</v>
      </c>
      <c r="M169" s="3"/>
      <c r="N169" s="3"/>
      <c r="O169" s="3"/>
      <c r="P169" s="3">
        <f t="shared" si="17"/>
        <v>1.9233573937989127E-8</v>
      </c>
      <c r="Q169" s="113">
        <f t="shared" si="16"/>
        <v>1.9313224245909219E-7</v>
      </c>
      <c r="R169" s="3">
        <f>(K169*10^-3/$W$3)*0.33</f>
        <v>2.2975018373435655E-3</v>
      </c>
      <c r="S169" s="3">
        <f>(J169*10^-3/$W$2)*0.941</f>
        <v>0</v>
      </c>
      <c r="T169" s="15">
        <f>R169+S169</f>
        <v>2.2975018373435655E-3</v>
      </c>
    </row>
    <row r="170" spans="1:20">
      <c r="A170" s="17" t="s">
        <v>68</v>
      </c>
      <c r="B170" s="61">
        <v>20.399999999999999</v>
      </c>
      <c r="C170" s="70">
        <v>44</v>
      </c>
      <c r="D170" s="4">
        <v>-513</v>
      </c>
      <c r="E170" s="4">
        <v>-379.4</v>
      </c>
      <c r="F170" s="4">
        <v>139.5</v>
      </c>
      <c r="G170" s="4">
        <v>6.24</v>
      </c>
      <c r="H170" s="4">
        <v>19.39</v>
      </c>
      <c r="I170" s="4">
        <v>8.3849999999999998</v>
      </c>
      <c r="J170" s="4">
        <v>0</v>
      </c>
      <c r="K170" s="4">
        <f>86.3*8</f>
        <v>690.4</v>
      </c>
      <c r="L170" s="4">
        <v>20.7</v>
      </c>
      <c r="M170" s="4">
        <f>D170/4700</f>
        <v>-0.10914893617021276</v>
      </c>
      <c r="N170" s="4">
        <f t="shared" ref="N170:N178" si="22">D170*M170</f>
        <v>55.993404255319149</v>
      </c>
      <c r="O170" s="4">
        <f>(N170*10^-6)/D_Calculation_electrode_area!$B$19</f>
        <v>4.4026279909459634E-3</v>
      </c>
      <c r="P170" s="4">
        <f t="shared" si="17"/>
        <v>1.6483900763893181E-8</v>
      </c>
      <c r="Q170" s="4">
        <f t="shared" si="16"/>
        <v>1.9500731277422902E-7</v>
      </c>
      <c r="R170" s="4">
        <f>(K170*10^-3/$W$3)*0.33</f>
        <v>2.3717034517075327E-3</v>
      </c>
      <c r="S170" s="4">
        <f>(J170*10^-3/$W$2)*0.941</f>
        <v>0</v>
      </c>
      <c r="T170" s="19">
        <f>R170+S170</f>
        <v>2.3717034517075327E-3</v>
      </c>
    </row>
    <row r="171" spans="1:20">
      <c r="A171" s="8" t="s">
        <v>69</v>
      </c>
      <c r="B171" s="57">
        <v>20.399999999999999</v>
      </c>
      <c r="C171" s="44">
        <v>44</v>
      </c>
      <c r="D171" s="1">
        <v>-114</v>
      </c>
      <c r="E171" s="1">
        <v>128</v>
      </c>
      <c r="F171" s="1">
        <v>245.2</v>
      </c>
      <c r="G171" s="1">
        <v>5.62</v>
      </c>
      <c r="H171" s="1">
        <v>18.68</v>
      </c>
      <c r="I171" s="1">
        <v>8.4589999999999996</v>
      </c>
      <c r="J171" s="1">
        <v>0</v>
      </c>
      <c r="K171" s="1">
        <f>73.5*8</f>
        <v>588</v>
      </c>
      <c r="L171" s="1">
        <v>20.6</v>
      </c>
      <c r="M171" s="1">
        <f>D171/1000</f>
        <v>-0.114</v>
      </c>
      <c r="N171" s="1">
        <f t="shared" si="22"/>
        <v>12.996</v>
      </c>
      <c r="O171" s="1">
        <f>(N171*10^-6)/D_Calculation_electrode_area!$B$19</f>
        <v>1.0218445213553595E-3</v>
      </c>
      <c r="P171" s="1">
        <f t="shared" si="17"/>
        <v>1.3901446457728232E-8</v>
      </c>
      <c r="Q171" s="4">
        <f t="shared" si="16"/>
        <v>1.756315861844819E-7</v>
      </c>
      <c r="R171" s="1">
        <f>(K171*10^-3/$W$3)*0.33</f>
        <v>2.0199328354635411E-3</v>
      </c>
      <c r="S171" s="1">
        <f>(J171*10^-3/$W$2)*0.941</f>
        <v>0</v>
      </c>
      <c r="T171" s="14">
        <f>R171+S171</f>
        <v>2.0199328354635411E-3</v>
      </c>
    </row>
    <row r="172" spans="1:20">
      <c r="A172" s="8" t="s">
        <v>70</v>
      </c>
      <c r="B172" s="57">
        <v>20.399999999999999</v>
      </c>
      <c r="C172" s="44">
        <v>44</v>
      </c>
      <c r="D172" s="1">
        <v>-280.3</v>
      </c>
      <c r="E172" s="1">
        <v>-171.1</v>
      </c>
      <c r="F172" s="1">
        <v>112</v>
      </c>
      <c r="G172" s="1">
        <v>6.29</v>
      </c>
      <c r="H172" s="1">
        <v>18.63</v>
      </c>
      <c r="I172" s="1">
        <v>8.5120000000000005</v>
      </c>
      <c r="J172" s="1">
        <v>0</v>
      </c>
      <c r="K172" s="1">
        <f>99.3*8</f>
        <v>794.4</v>
      </c>
      <c r="L172" s="1">
        <v>20.7</v>
      </c>
      <c r="M172" s="1">
        <f>D172/560</f>
        <v>-0.50053571428571431</v>
      </c>
      <c r="N172" s="1">
        <f t="shared" si="22"/>
        <v>140.30016071428574</v>
      </c>
      <c r="O172" s="1">
        <f>(N172*10^-6)/D_Calculation_electrode_area!$B$19</f>
        <v>1.1031467418526416E-2</v>
      </c>
      <c r="P172" s="4">
        <f t="shared" si="17"/>
        <v>1.2304387258962809E-8</v>
      </c>
      <c r="Q172" s="4">
        <f t="shared" si="16"/>
        <v>1.9656987137017637E-7</v>
      </c>
      <c r="R172" s="1">
        <f>(K172*10^-3/$W$3)*0.33</f>
        <v>2.7289704838303359E-3</v>
      </c>
      <c r="S172" s="1">
        <f>(J172*10^-3/$W$2)*0.941</f>
        <v>0</v>
      </c>
      <c r="T172" s="14">
        <f>R172+S172</f>
        <v>2.7289704838303359E-3</v>
      </c>
    </row>
    <row r="173" spans="1:20">
      <c r="A173" s="8" t="s">
        <v>71</v>
      </c>
      <c r="B173" s="57">
        <v>20.399999999999999</v>
      </c>
      <c r="C173" s="44">
        <v>44</v>
      </c>
      <c r="D173" s="1">
        <v>-356</v>
      </c>
      <c r="E173" s="1">
        <v>-92</v>
      </c>
      <c r="F173" s="1">
        <v>265.2</v>
      </c>
      <c r="G173" s="1">
        <v>6.62</v>
      </c>
      <c r="H173" s="1">
        <v>18.940000000000001</v>
      </c>
      <c r="I173" s="1">
        <v>8.7330000000000005</v>
      </c>
      <c r="J173" s="1">
        <v>0</v>
      </c>
      <c r="K173" s="1">
        <f>82.5*8</f>
        <v>660</v>
      </c>
      <c r="L173" s="1">
        <v>20.6</v>
      </c>
      <c r="M173" s="1">
        <f>D173/1000</f>
        <v>-0.35599999999999998</v>
      </c>
      <c r="N173" s="1">
        <f t="shared" si="22"/>
        <v>126.73599999999999</v>
      </c>
      <c r="O173" s="1">
        <f>(N173*10^-6)/D_Calculation_electrode_area!$B$19</f>
        <v>9.9649497736605738E-3</v>
      </c>
      <c r="P173" s="1">
        <f t="shared" si="17"/>
        <v>7.3970744759122836E-9</v>
      </c>
      <c r="Q173" s="4">
        <f t="shared" si="16"/>
        <v>2.068827581034289E-7</v>
      </c>
      <c r="R173" s="1">
        <f>(K173*10^-3/$W$3)*0.33</f>
        <v>2.2672715500100978E-3</v>
      </c>
      <c r="S173" s="1">
        <f>(J173*10^-3/$W$2)*0.941</f>
        <v>0</v>
      </c>
      <c r="T173" s="14">
        <f>R173+S173</f>
        <v>2.2672715500100978E-3</v>
      </c>
    </row>
    <row r="174" spans="1:20">
      <c r="A174" s="8" t="s">
        <v>72</v>
      </c>
      <c r="B174" s="57">
        <v>20.399999999999999</v>
      </c>
      <c r="C174" s="44">
        <v>44</v>
      </c>
      <c r="D174" s="1">
        <v>-535</v>
      </c>
      <c r="E174" s="1">
        <v>-355</v>
      </c>
      <c r="F174" s="1">
        <v>180.3</v>
      </c>
      <c r="G174" s="1">
        <v>6.63</v>
      </c>
      <c r="H174" s="1">
        <v>18.760000000000002</v>
      </c>
      <c r="I174" s="1">
        <v>8.5299999999999994</v>
      </c>
      <c r="J174" s="1">
        <v>0</v>
      </c>
      <c r="K174" s="1">
        <f>86.3*8</f>
        <v>690.4</v>
      </c>
      <c r="L174" s="1">
        <v>21</v>
      </c>
      <c r="M174" s="1">
        <f>D174/4700</f>
        <v>-0.11382978723404255</v>
      </c>
      <c r="N174" s="1">
        <f t="shared" si="22"/>
        <v>60.898936170212764</v>
      </c>
      <c r="O174" s="1">
        <f>(N174*10^-6)/D_Calculation_electrode_area!$B$19</f>
        <v>4.7883382796169317E-3</v>
      </c>
      <c r="P174" s="4">
        <f t="shared" si="17"/>
        <v>1.1804836906665542E-8</v>
      </c>
      <c r="Q174" s="4">
        <f t="shared" si="16"/>
        <v>2.0719526982261833E-7</v>
      </c>
      <c r="R174" s="1">
        <f>(K174*10^-3/$W$3)*0.33</f>
        <v>2.3717034517075327E-3</v>
      </c>
      <c r="S174" s="1">
        <f>(J174*10^-3/$W$2)*0.941</f>
        <v>0</v>
      </c>
      <c r="T174" s="14">
        <f>R174+S174</f>
        <v>2.3717034517075327E-3</v>
      </c>
    </row>
    <row r="175" spans="1:20">
      <c r="A175" s="8" t="s">
        <v>73</v>
      </c>
      <c r="B175" s="57">
        <v>20.399999999999999</v>
      </c>
      <c r="C175" s="44">
        <v>44</v>
      </c>
      <c r="D175" s="1">
        <v>-244</v>
      </c>
      <c r="E175" s="1">
        <v>27.7</v>
      </c>
      <c r="F175" s="1">
        <v>275.7</v>
      </c>
      <c r="G175" s="1">
        <v>6.83</v>
      </c>
      <c r="H175" s="1">
        <v>19.7</v>
      </c>
      <c r="I175" s="1">
        <v>8.577</v>
      </c>
      <c r="J175" s="1">
        <v>0</v>
      </c>
      <c r="K175" s="1">
        <f>94.7*8</f>
        <v>757.6</v>
      </c>
      <c r="L175" s="1">
        <v>20</v>
      </c>
      <c r="M175" s="1">
        <f>D175/6800</f>
        <v>-3.5882352941176469E-2</v>
      </c>
      <c r="N175" s="1">
        <f t="shared" si="22"/>
        <v>8.7552941176470593</v>
      </c>
      <c r="O175" s="1">
        <f>(N175*10^-6)/D_Calculation_electrode_area!$B$19</f>
        <v>6.8840791989631053E-4</v>
      </c>
      <c r="P175" s="1">
        <f t="shared" si="17"/>
        <v>1.0594000554426791E-8</v>
      </c>
      <c r="Q175" s="4">
        <f t="shared" si="16"/>
        <v>2.1344550420640773E-7</v>
      </c>
      <c r="R175" s="1">
        <f>(K175*10^-3/$W$3)*0.33</f>
        <v>2.6025529186176517E-3</v>
      </c>
      <c r="S175" s="1">
        <f>(J175*10^-3/$W$2)*0.941</f>
        <v>0</v>
      </c>
      <c r="T175" s="14">
        <f>R175+S175</f>
        <v>2.6025529186176517E-3</v>
      </c>
    </row>
    <row r="176" spans="1:20">
      <c r="A176" s="8" t="s">
        <v>74</v>
      </c>
      <c r="B176" s="57">
        <v>20.399999999999999</v>
      </c>
      <c r="C176" s="44">
        <v>44</v>
      </c>
      <c r="D176" s="1">
        <v>-652</v>
      </c>
      <c r="E176" s="1">
        <v>-386.4</v>
      </c>
      <c r="F176" s="1">
        <v>271.2</v>
      </c>
      <c r="G176" s="1">
        <v>5.9</v>
      </c>
      <c r="H176" s="1">
        <v>19.04</v>
      </c>
      <c r="I176" s="1">
        <v>8.4760000000000009</v>
      </c>
      <c r="J176" s="1">
        <v>0</v>
      </c>
      <c r="K176" s="1">
        <f>80.4*8</f>
        <v>643.20000000000005</v>
      </c>
      <c r="L176" s="1">
        <v>20.9</v>
      </c>
      <c r="M176" s="1">
        <f>D176/1000</f>
        <v>-0.65200000000000002</v>
      </c>
      <c r="N176" s="1">
        <f t="shared" si="22"/>
        <v>425.10400000000004</v>
      </c>
      <c r="O176" s="1">
        <f>(N176*10^-6)/D_Calculation_electrode_area!$B$19</f>
        <v>3.3424914851204121E-2</v>
      </c>
      <c r="P176" s="4">
        <f t="shared" si="17"/>
        <v>1.3367801601044503E-8</v>
      </c>
      <c r="Q176" s="4">
        <f t="shared" si="16"/>
        <v>1.8438191432178707E-7</v>
      </c>
      <c r="R176" s="1">
        <f>(K176*10^-3/$W$3)*0.33</f>
        <v>2.2095591832825682E-3</v>
      </c>
      <c r="S176" s="1">
        <f>(J176*10^-3/$W$2)*0.941</f>
        <v>0</v>
      </c>
      <c r="T176" s="14">
        <f>R176+S176</f>
        <v>2.2095591832825682E-3</v>
      </c>
    </row>
    <row r="177" spans="1:20">
      <c r="A177" s="8" t="s">
        <v>75</v>
      </c>
      <c r="B177" s="57">
        <v>20.399999999999999</v>
      </c>
      <c r="C177" s="44">
        <v>44</v>
      </c>
      <c r="D177" s="1">
        <v>-821</v>
      </c>
      <c r="E177" s="1">
        <v>-390</v>
      </c>
      <c r="F177" s="1">
        <v>430.5</v>
      </c>
      <c r="G177" s="1">
        <v>7</v>
      </c>
      <c r="H177" s="1">
        <v>18.93</v>
      </c>
      <c r="I177" s="1">
        <v>8.4220000000000006</v>
      </c>
      <c r="J177" s="1">
        <v>0</v>
      </c>
      <c r="K177" s="1">
        <f>84.4*4</f>
        <v>337.6</v>
      </c>
      <c r="L177" s="1">
        <v>21.1</v>
      </c>
      <c r="M177" s="1">
        <f>D177/1000</f>
        <v>-0.82099999999999995</v>
      </c>
      <c r="N177" s="1">
        <f t="shared" si="22"/>
        <v>674.04099999999994</v>
      </c>
      <c r="O177" s="1">
        <f>(N177*10^-6)/D_Calculation_electrode_area!$B$19</f>
        <v>5.2998238151653408E-2</v>
      </c>
      <c r="P177" s="1">
        <f t="shared" si="17"/>
        <v>1.5137703388683694E-8</v>
      </c>
      <c r="Q177" s="4">
        <f t="shared" si="16"/>
        <v>2.1875820343262872E-7</v>
      </c>
      <c r="R177" s="1">
        <f>(K177*10^-3/$W$3)*0.33</f>
        <v>1.1597437504294076E-3</v>
      </c>
      <c r="S177" s="1">
        <f>(J177*10^-3/$W$2)*0.941</f>
        <v>0</v>
      </c>
      <c r="T177" s="14">
        <f>R177+S177</f>
        <v>1.1597437504294076E-3</v>
      </c>
    </row>
    <row r="178" spans="1:20">
      <c r="A178" s="8" t="s">
        <v>76</v>
      </c>
      <c r="B178" s="57">
        <v>20.399999999999999</v>
      </c>
      <c r="C178" s="44">
        <v>44</v>
      </c>
      <c r="D178" s="1">
        <v>-673</v>
      </c>
      <c r="E178" s="1">
        <v>-397.2</v>
      </c>
      <c r="F178" s="1">
        <v>273.3</v>
      </c>
      <c r="G178" s="1">
        <v>6.09</v>
      </c>
      <c r="H178" s="1">
        <v>19.170000000000002</v>
      </c>
      <c r="I178" s="1">
        <v>8.4109999999999996</v>
      </c>
      <c r="J178" s="1">
        <v>0</v>
      </c>
      <c r="K178" s="1">
        <f>77*8</f>
        <v>616</v>
      </c>
      <c r="L178" s="1">
        <v>21.1</v>
      </c>
      <c r="M178" s="1">
        <f>D178/1000</f>
        <v>-0.67300000000000004</v>
      </c>
      <c r="N178" s="1">
        <f t="shared" si="22"/>
        <v>452.92900000000003</v>
      </c>
      <c r="O178" s="1">
        <f>(N178*10^-6)/D_Calculation_electrode_area!$B$19</f>
        <v>3.5612728317402399E-2</v>
      </c>
      <c r="P178" s="4">
        <f t="shared" si="17"/>
        <v>1.5526014639625896E-8</v>
      </c>
      <c r="Q178" s="4">
        <f t="shared" si="16"/>
        <v>1.9031963698638697E-7</v>
      </c>
      <c r="R178" s="1">
        <f>(K178*10^-3/$W$3)*0.33</f>
        <v>2.1161201133427575E-3</v>
      </c>
      <c r="S178" s="1">
        <f>(J178*10^-3/$W$2)*0.941</f>
        <v>0</v>
      </c>
      <c r="T178" s="14">
        <f>R178+S178</f>
        <v>2.1161201133427575E-3</v>
      </c>
    </row>
    <row r="179" spans="1:20">
      <c r="A179" s="8" t="s">
        <v>77</v>
      </c>
      <c r="B179" s="57">
        <v>20.399999999999999</v>
      </c>
      <c r="C179" s="44">
        <v>44</v>
      </c>
      <c r="D179" s="1"/>
      <c r="E179" s="1"/>
      <c r="F179" s="1"/>
      <c r="G179" s="1">
        <v>6.36</v>
      </c>
      <c r="H179" s="1">
        <v>19.010000000000002</v>
      </c>
      <c r="I179" s="1">
        <v>8.452</v>
      </c>
      <c r="J179" s="1">
        <v>0</v>
      </c>
      <c r="K179" s="1">
        <f>76.4*8</f>
        <v>611.20000000000005</v>
      </c>
      <c r="L179" s="1">
        <v>21</v>
      </c>
      <c r="M179" s="1"/>
      <c r="N179" s="1"/>
      <c r="O179" s="1"/>
      <c r="P179" s="1">
        <f t="shared" si="17"/>
        <v>1.4127326791678245E-8</v>
      </c>
      <c r="Q179" s="4">
        <f t="shared" si="16"/>
        <v>1.9875745340450269E-7</v>
      </c>
      <c r="R179" s="1">
        <f>(K179*10^-3/$W$3)*0.33</f>
        <v>2.0996308657063208E-3</v>
      </c>
      <c r="S179" s="1">
        <f>(J179*10^-3/$W$2)*0.941</f>
        <v>0</v>
      </c>
      <c r="T179" s="14">
        <f>R179+S179</f>
        <v>2.0996308657063208E-3</v>
      </c>
    </row>
    <row r="180" spans="1:20">
      <c r="A180" s="8" t="s">
        <v>78</v>
      </c>
      <c r="B180" s="57">
        <v>20.399999999999999</v>
      </c>
      <c r="C180" s="44">
        <v>44</v>
      </c>
      <c r="D180" s="1"/>
      <c r="E180" s="1"/>
      <c r="F180" s="1"/>
      <c r="G180" s="1">
        <v>5.22</v>
      </c>
      <c r="H180" s="1">
        <v>18.88</v>
      </c>
      <c r="I180" s="1">
        <v>8.4359999999999999</v>
      </c>
      <c r="J180" s="1">
        <v>0</v>
      </c>
      <c r="K180" s="1">
        <f>69.5*8</f>
        <v>556</v>
      </c>
      <c r="L180" s="1">
        <v>20.9</v>
      </c>
      <c r="M180" s="1"/>
      <c r="N180" s="1"/>
      <c r="O180" s="1"/>
      <c r="P180" s="4">
        <f t="shared" si="17"/>
        <v>1.4657502985913304E-8</v>
      </c>
      <c r="Q180" s="4">
        <f t="shared" si="16"/>
        <v>1.6313111741690311E-7</v>
      </c>
      <c r="R180" s="1">
        <f>(K180*10^-3/$W$3)*0.33</f>
        <v>1.9100045178872945E-3</v>
      </c>
      <c r="S180" s="1">
        <f>(J180*10^-3/$W$2)*0.941</f>
        <v>0</v>
      </c>
      <c r="T180" s="14">
        <f>R180+S180</f>
        <v>1.9100045178872945E-3</v>
      </c>
    </row>
    <row r="181" spans="1:20">
      <c r="A181" s="18" t="s">
        <v>79</v>
      </c>
      <c r="B181" s="58">
        <v>20.399999999999999</v>
      </c>
      <c r="C181" s="66">
        <v>44</v>
      </c>
      <c r="D181" s="2"/>
      <c r="E181" s="2"/>
      <c r="F181" s="2"/>
      <c r="G181" s="2">
        <v>5.73</v>
      </c>
      <c r="H181" s="2">
        <v>19.760000000000002</v>
      </c>
      <c r="I181" s="2">
        <v>8.36</v>
      </c>
      <c r="J181" s="2">
        <v>0</v>
      </c>
      <c r="K181" s="2"/>
      <c r="L181" s="2">
        <v>20.9</v>
      </c>
      <c r="M181" s="2"/>
      <c r="N181" s="2"/>
      <c r="O181" s="2"/>
      <c r="P181" s="1">
        <f t="shared" si="17"/>
        <v>1.7460633289606609E-8</v>
      </c>
      <c r="Q181" s="113">
        <f t="shared" si="16"/>
        <v>1.7906921509556608E-7</v>
      </c>
      <c r="R181" s="2">
        <f>(K181*10^-3/$W$3)*0.33</f>
        <v>0</v>
      </c>
      <c r="S181" s="2">
        <f>(J181*10^-3/$W$2)*0.941</f>
        <v>0</v>
      </c>
      <c r="T181" s="16">
        <f>R181+S181</f>
        <v>0</v>
      </c>
    </row>
    <row r="182" spans="1:20">
      <c r="A182" s="37" t="s">
        <v>68</v>
      </c>
      <c r="B182" s="59" t="s">
        <v>60</v>
      </c>
      <c r="C182" s="67">
        <v>51</v>
      </c>
      <c r="D182" s="12">
        <v>-74</v>
      </c>
      <c r="E182" s="12">
        <v>-30</v>
      </c>
      <c r="F182" s="12">
        <v>101</v>
      </c>
      <c r="G182" s="12">
        <v>5.61</v>
      </c>
      <c r="H182" s="12">
        <v>19.82</v>
      </c>
      <c r="I182" s="12">
        <v>8.5370000000000008</v>
      </c>
      <c r="J182" s="12">
        <v>0</v>
      </c>
      <c r="K182" s="12">
        <f>87.3*8</f>
        <v>698.4</v>
      </c>
      <c r="L182" s="12">
        <v>20.7</v>
      </c>
      <c r="M182" s="12">
        <f>D182/4700</f>
        <v>-1.5744680851063831E-2</v>
      </c>
      <c r="N182" s="12">
        <f t="shared" ref="N182:N190" si="23">D182*M182</f>
        <v>1.1651063829787236</v>
      </c>
      <c r="O182" s="12">
        <f>(N182*10^-6)/D_Calculation_electrode_area!$B$19</f>
        <v>9.1609539415433053E-5</v>
      </c>
      <c r="P182" s="12">
        <f t="shared" si="17"/>
        <v>1.1616090617857743E-8</v>
      </c>
      <c r="Q182" s="4">
        <f t="shared" si="16"/>
        <v>1.7531907446529244E-7</v>
      </c>
      <c r="R182" s="12">
        <f>(K182*10^-3/$W$3)*0.33</f>
        <v>2.3991855311015944E-3</v>
      </c>
      <c r="S182" s="12">
        <f>(J182*10^-3/$W$2)*0.941</f>
        <v>0</v>
      </c>
      <c r="T182" s="36">
        <f>R182+S182</f>
        <v>2.3991855311015944E-3</v>
      </c>
    </row>
    <row r="183" spans="1:20">
      <c r="A183" s="8" t="s">
        <v>69</v>
      </c>
      <c r="B183" s="57" t="s">
        <v>60</v>
      </c>
      <c r="C183" s="45">
        <v>51</v>
      </c>
      <c r="D183" s="1">
        <v>-123.3</v>
      </c>
      <c r="E183" s="1">
        <v>42.6</v>
      </c>
      <c r="F183" s="1">
        <v>167.7</v>
      </c>
      <c r="G183" s="1">
        <v>5.46</v>
      </c>
      <c r="H183" s="1">
        <v>19.149999999999999</v>
      </c>
      <c r="I183" s="1">
        <v>8.5969999999999995</v>
      </c>
      <c r="J183" s="1">
        <v>0</v>
      </c>
      <c r="K183" s="1">
        <f>79.9*8</f>
        <v>639.20000000000005</v>
      </c>
      <c r="L183" s="1">
        <v>20.7</v>
      </c>
      <c r="M183" s="1">
        <f>D183/1000</f>
        <v>-0.12329999999999999</v>
      </c>
      <c r="N183" s="1">
        <f t="shared" si="23"/>
        <v>15.202889999999998</v>
      </c>
      <c r="O183" s="1">
        <f>(N183*10^-6)/D_Calculation_electrode_area!$B$19</f>
        <v>1.1953670248744366E-3</v>
      </c>
      <c r="P183" s="1">
        <f t="shared" si="17"/>
        <v>1.0117191985784569E-8</v>
      </c>
      <c r="Q183" s="4">
        <f t="shared" si="16"/>
        <v>1.7063139867745039E-7</v>
      </c>
      <c r="R183" s="1">
        <f>(K183*10^-3/$W$3)*0.33</f>
        <v>2.1958181435855371E-3</v>
      </c>
      <c r="S183" s="1">
        <f>(J183*10^-3/$W$2)*0.941</f>
        <v>0</v>
      </c>
      <c r="T183" s="14">
        <f>R183+S183</f>
        <v>2.1958181435855371E-3</v>
      </c>
    </row>
    <row r="184" spans="1:20">
      <c r="A184" s="8" t="s">
        <v>70</v>
      </c>
      <c r="B184" s="57" t="s">
        <v>60</v>
      </c>
      <c r="C184" s="45">
        <v>51</v>
      </c>
      <c r="D184" s="1">
        <v>-284.39999999999998</v>
      </c>
      <c r="E184" s="1">
        <v>-116</v>
      </c>
      <c r="F184" s="1">
        <v>168</v>
      </c>
      <c r="G184" s="1">
        <v>6.49</v>
      </c>
      <c r="H184" s="1">
        <v>19.079999999999998</v>
      </c>
      <c r="I184" s="1">
        <v>8.673</v>
      </c>
      <c r="J184" s="1">
        <v>0</v>
      </c>
      <c r="K184" s="1">
        <f>92.7*8</f>
        <v>741.6</v>
      </c>
      <c r="L184" s="1">
        <v>20.8</v>
      </c>
      <c r="M184" s="1">
        <f>D184/560</f>
        <v>-0.50785714285714278</v>
      </c>
      <c r="N184" s="1">
        <f t="shared" si="23"/>
        <v>144.43457142857139</v>
      </c>
      <c r="O184" s="1">
        <f>(N184*10^-6)/D_Calculation_electrode_area!$B$19</f>
        <v>1.1356546284133195E-2</v>
      </c>
      <c r="P184" s="1">
        <f t="shared" si="17"/>
        <v>8.492977848000869E-9</v>
      </c>
      <c r="Q184" s="4">
        <f t="shared" si="16"/>
        <v>2.0282010575396578E-7</v>
      </c>
      <c r="R184" s="1">
        <f>(K184*10^-3/$W$3)*0.33</f>
        <v>2.5475887598295282E-3</v>
      </c>
      <c r="S184" s="1">
        <f>(J184*10^-3/$W$2)*0.941</f>
        <v>0</v>
      </c>
      <c r="T184" s="14">
        <f>R184+S184</f>
        <v>2.5475887598295282E-3</v>
      </c>
    </row>
    <row r="185" spans="1:20">
      <c r="A185" s="8" t="s">
        <v>71</v>
      </c>
      <c r="B185" s="57" t="s">
        <v>60</v>
      </c>
      <c r="C185" s="44">
        <v>51</v>
      </c>
      <c r="D185" s="1">
        <v>-319</v>
      </c>
      <c r="E185" s="1">
        <v>-269</v>
      </c>
      <c r="F185" s="1">
        <v>53.9</v>
      </c>
      <c r="G185" s="1">
        <v>7.08</v>
      </c>
      <c r="H185" s="1">
        <v>19.39</v>
      </c>
      <c r="I185" s="1">
        <v>8.7739999999999991</v>
      </c>
      <c r="J185" s="1">
        <v>0</v>
      </c>
      <c r="K185" s="1">
        <f>86.2*8</f>
        <v>689.6</v>
      </c>
      <c r="L185" s="1">
        <v>20.9</v>
      </c>
      <c r="M185" s="1">
        <f>D185/1000</f>
        <v>-0.31900000000000001</v>
      </c>
      <c r="N185" s="1">
        <f t="shared" si="23"/>
        <v>101.761</v>
      </c>
      <c r="O185" s="1">
        <f>(N185*10^-6)/D_Calculation_electrode_area!$B$19</f>
        <v>8.0012250182858353E-3</v>
      </c>
      <c r="P185" s="1">
        <f t="shared" si="17"/>
        <v>6.730696244281865E-9</v>
      </c>
      <c r="Q185" s="4">
        <f t="shared" si="16"/>
        <v>2.2125829718614449E-7</v>
      </c>
      <c r="R185" s="1">
        <f>(K185*10^-3/$W$3)*0.33</f>
        <v>2.3689552437681262E-3</v>
      </c>
      <c r="S185" s="1">
        <f>(J185*10^-3/$W$2)*0.941</f>
        <v>0</v>
      </c>
      <c r="T185" s="14">
        <f>R185+S185</f>
        <v>2.3689552437681262E-3</v>
      </c>
    </row>
    <row r="186" spans="1:20">
      <c r="A186" s="8" t="s">
        <v>72</v>
      </c>
      <c r="B186" s="57" t="s">
        <v>60</v>
      </c>
      <c r="C186" s="45">
        <v>51</v>
      </c>
      <c r="D186" s="1">
        <v>-503</v>
      </c>
      <c r="E186" s="1">
        <v>-365.5</v>
      </c>
      <c r="F186" s="1">
        <v>142.19999999999999</v>
      </c>
      <c r="G186" s="80">
        <v>6.43</v>
      </c>
      <c r="H186" s="1">
        <v>19.03</v>
      </c>
      <c r="I186" s="1">
        <v>8.5879999999999992</v>
      </c>
      <c r="J186" s="1">
        <v>0</v>
      </c>
      <c r="K186" s="1">
        <f>82.5*8</f>
        <v>660</v>
      </c>
      <c r="L186" s="1">
        <v>20.9</v>
      </c>
      <c r="M186" s="1">
        <f>D186/4700</f>
        <v>-0.10702127659574467</v>
      </c>
      <c r="N186" s="1">
        <f t="shared" si="23"/>
        <v>53.831702127659568</v>
      </c>
      <c r="O186" s="1">
        <f>(N186*10^-6)/D_Calculation_electrode_area!$B$19</f>
        <v>4.2326585021839466E-3</v>
      </c>
      <c r="P186" s="1">
        <f t="shared" si="17"/>
        <v>1.0329040762538402E-8</v>
      </c>
      <c r="Q186" s="4">
        <f t="shared" si="16"/>
        <v>2.0094503543882895E-7</v>
      </c>
      <c r="R186" s="1">
        <f>(K186*10^-3/$W$3)*0.33</f>
        <v>2.2672715500100978E-3</v>
      </c>
      <c r="S186" s="1">
        <f>(J186*10^-3/$W$2)*0.941</f>
        <v>0</v>
      </c>
      <c r="T186" s="14">
        <f>R186+S186</f>
        <v>2.2672715500100978E-3</v>
      </c>
    </row>
    <row r="187" spans="1:20">
      <c r="A187" s="8" t="s">
        <v>73</v>
      </c>
      <c r="B187" s="57" t="s">
        <v>60</v>
      </c>
      <c r="C187" s="44">
        <v>51</v>
      </c>
      <c r="D187" s="1">
        <v>-158</v>
      </c>
      <c r="E187" s="1">
        <v>124.2</v>
      </c>
      <c r="F187" s="1">
        <v>282.2</v>
      </c>
      <c r="G187" s="1">
        <v>6.81</v>
      </c>
      <c r="H187" s="1">
        <v>19.71</v>
      </c>
      <c r="I187" s="1">
        <v>8.6159999999999997</v>
      </c>
      <c r="J187" s="1">
        <v>0</v>
      </c>
      <c r="K187" s="1">
        <f>83.9*8</f>
        <v>671.2</v>
      </c>
      <c r="L187" s="1">
        <v>20.9</v>
      </c>
      <c r="M187" s="1">
        <f>D187/6800</f>
        <v>-2.3235294117647059E-2</v>
      </c>
      <c r="N187" s="1">
        <f t="shared" si="23"/>
        <v>3.6711764705882355</v>
      </c>
      <c r="O187" s="1">
        <f>(N187*10^-6)/D_Calculation_electrode_area!$B$19</f>
        <v>2.8865586052626138E-4</v>
      </c>
      <c r="P187" s="1">
        <f t="shared" si="17"/>
        <v>9.6841161869447108E-9</v>
      </c>
      <c r="Q187" s="4">
        <f t="shared" si="16"/>
        <v>2.1282048076802877E-7</v>
      </c>
      <c r="R187" s="1">
        <f>(K187*10^-3/$W$3)*0.33</f>
        <v>2.3057464611617841E-3</v>
      </c>
      <c r="S187" s="1">
        <f>(J187*10^-3/$W$2)*0.941</f>
        <v>0</v>
      </c>
      <c r="T187" s="14">
        <f>R187+S187</f>
        <v>2.3057464611617841E-3</v>
      </c>
    </row>
    <row r="188" spans="1:20">
      <c r="A188" s="8" t="s">
        <v>74</v>
      </c>
      <c r="B188" s="57" t="s">
        <v>60</v>
      </c>
      <c r="C188" s="45">
        <v>51</v>
      </c>
      <c r="D188" s="1">
        <v>-654</v>
      </c>
      <c r="E188" s="1">
        <v>-390</v>
      </c>
      <c r="F188" s="1">
        <v>261.5</v>
      </c>
      <c r="G188" s="1">
        <v>6.21</v>
      </c>
      <c r="H188" s="1">
        <v>19.63</v>
      </c>
      <c r="I188" s="1">
        <v>8.5640000000000001</v>
      </c>
      <c r="J188" s="1">
        <v>0</v>
      </c>
      <c r="K188" s="1">
        <f>74.2*8</f>
        <v>593.6</v>
      </c>
      <c r="L188" s="1">
        <v>21</v>
      </c>
      <c r="M188" s="1">
        <f>D188/1000</f>
        <v>-0.65400000000000003</v>
      </c>
      <c r="N188" s="1">
        <f t="shared" si="23"/>
        <v>427.71600000000001</v>
      </c>
      <c r="O188" s="1">
        <f>(N188*10^-6)/D_Calculation_electrode_area!$B$19</f>
        <v>3.3630290188983447E-2</v>
      </c>
      <c r="P188" s="1">
        <f t="shared" si="17"/>
        <v>1.0915911131232133E-8</v>
      </c>
      <c r="Q188" s="4">
        <f t="shared" si="16"/>
        <v>1.9406977761666063E-7</v>
      </c>
      <c r="R188" s="1">
        <f>(K188*10^-3/$W$3)*0.33</f>
        <v>2.0391702910393847E-3</v>
      </c>
      <c r="S188" s="1">
        <f>(J188*10^-3/$W$2)*0.941</f>
        <v>0</v>
      </c>
      <c r="T188" s="14">
        <f>R188+S188</f>
        <v>2.0391702910393847E-3</v>
      </c>
    </row>
    <row r="189" spans="1:20">
      <c r="A189" s="8" t="s">
        <v>75</v>
      </c>
      <c r="B189" s="57" t="s">
        <v>60</v>
      </c>
      <c r="C189" s="45">
        <v>51</v>
      </c>
      <c r="D189" s="1">
        <v>-797</v>
      </c>
      <c r="E189" s="1">
        <v>-395.5</v>
      </c>
      <c r="F189" s="1">
        <v>402</v>
      </c>
      <c r="G189" s="1">
        <v>5.57</v>
      </c>
      <c r="H189" s="1">
        <v>19.32</v>
      </c>
      <c r="I189" s="1">
        <v>8.5419999999999998</v>
      </c>
      <c r="J189" s="1">
        <v>0</v>
      </c>
      <c r="K189" s="1">
        <f>77.8*8</f>
        <v>622.4</v>
      </c>
      <c r="L189" s="1">
        <v>21</v>
      </c>
      <c r="M189" s="1">
        <f>D189/1000</f>
        <v>-0.79700000000000004</v>
      </c>
      <c r="N189" s="1">
        <f t="shared" si="23"/>
        <v>635.20900000000006</v>
      </c>
      <c r="O189" s="1">
        <f>(N189*10^-6)/D_Calculation_electrode_area!$B$19</f>
        <v>4.9944970495969264E-2</v>
      </c>
      <c r="P189" s="1">
        <f t="shared" si="17"/>
        <v>1.1483122328098747E-8</v>
      </c>
      <c r="Q189" s="4">
        <f t="shared" si="16"/>
        <v>1.7406902758853457E-7</v>
      </c>
      <c r="R189" s="1">
        <f>(K189*10^-3/$W$3)*0.33</f>
        <v>2.1381057768580071E-3</v>
      </c>
      <c r="S189" s="1">
        <f>(J189*10^-3/$W$2)*0.941</f>
        <v>0</v>
      </c>
      <c r="T189" s="14">
        <f>R189+S189</f>
        <v>2.1381057768580071E-3</v>
      </c>
    </row>
    <row r="190" spans="1:20">
      <c r="A190" s="8" t="s">
        <v>76</v>
      </c>
      <c r="B190" s="57" t="s">
        <v>60</v>
      </c>
      <c r="C190" s="44">
        <v>51</v>
      </c>
      <c r="D190" s="1">
        <v>-733</v>
      </c>
      <c r="E190" s="1">
        <v>-410</v>
      </c>
      <c r="F190" s="1">
        <v>322.3</v>
      </c>
      <c r="G190" s="1">
        <v>5.55</v>
      </c>
      <c r="H190" s="1">
        <v>19.66</v>
      </c>
      <c r="I190" s="1">
        <v>8.6029999999999998</v>
      </c>
      <c r="J190" s="1">
        <v>0</v>
      </c>
      <c r="K190" s="1">
        <f>81.4*8</f>
        <v>651.20000000000005</v>
      </c>
      <c r="L190" s="1">
        <v>21</v>
      </c>
      <c r="M190" s="1">
        <f>D190/1000</f>
        <v>-0.73299999999999998</v>
      </c>
      <c r="N190" s="1">
        <f t="shared" si="23"/>
        <v>537.28899999999999</v>
      </c>
      <c r="O190" s="1">
        <f>(N190*10^-6)/D_Calculation_electrode_area!$B$19</f>
        <v>4.2245754157779286E-2</v>
      </c>
      <c r="P190" s="1">
        <f t="shared" si="17"/>
        <v>9.978378907771802E-9</v>
      </c>
      <c r="Q190" s="4">
        <f t="shared" si="16"/>
        <v>1.7344400415015561E-7</v>
      </c>
      <c r="R190" s="1">
        <f>(K190*10^-3/$W$3)*0.33</f>
        <v>2.23704126267663E-3</v>
      </c>
      <c r="S190" s="1">
        <f>(J190*10^-3/$W$2)*0.941</f>
        <v>0</v>
      </c>
      <c r="T190" s="14">
        <f>R190+S190</f>
        <v>2.23704126267663E-3</v>
      </c>
    </row>
    <row r="191" spans="1:20">
      <c r="A191" s="8" t="s">
        <v>77</v>
      </c>
      <c r="B191" s="57" t="s">
        <v>60</v>
      </c>
      <c r="C191" s="45">
        <v>51</v>
      </c>
      <c r="D191" s="1"/>
      <c r="E191" s="1"/>
      <c r="F191" s="1"/>
      <c r="G191" s="1">
        <v>5.95</v>
      </c>
      <c r="H191" s="1">
        <v>19.600000000000001</v>
      </c>
      <c r="I191" s="1">
        <v>8.5690000000000008</v>
      </c>
      <c r="J191" s="1">
        <v>0</v>
      </c>
      <c r="K191" s="1">
        <f>79.3*8</f>
        <v>634.4</v>
      </c>
      <c r="L191" s="1">
        <v>21.2</v>
      </c>
      <c r="M191" s="1"/>
      <c r="N191" s="1"/>
      <c r="O191" s="1"/>
      <c r="P191" s="1">
        <f t="shared" si="17"/>
        <v>1.079095772977965E-8</v>
      </c>
      <c r="Q191" s="4">
        <f t="shared" si="16"/>
        <v>1.8594447291773442E-7</v>
      </c>
      <c r="R191" s="1">
        <f>(K191*10^-3/$W$3)*0.33</f>
        <v>2.1793288959491E-3</v>
      </c>
      <c r="S191" s="1">
        <f>(J191*10^-3/$W$2)*0.941</f>
        <v>0</v>
      </c>
      <c r="T191" s="14">
        <f>R191+S191</f>
        <v>2.1793288959491E-3</v>
      </c>
    </row>
    <row r="192" spans="1:20">
      <c r="A192" s="8" t="s">
        <v>78</v>
      </c>
      <c r="B192" s="57" t="s">
        <v>60</v>
      </c>
      <c r="C192" s="45">
        <v>51</v>
      </c>
      <c r="D192" s="1"/>
      <c r="E192" s="1"/>
      <c r="F192" s="1"/>
      <c r="G192" s="1">
        <v>4.97</v>
      </c>
      <c r="H192" s="1">
        <v>19.25</v>
      </c>
      <c r="I192" s="1">
        <v>8.5259999999999998</v>
      </c>
      <c r="J192" s="1">
        <v>0</v>
      </c>
      <c r="K192" s="1">
        <f>80.2*8</f>
        <v>641.6</v>
      </c>
      <c r="L192" s="1">
        <v>21.1</v>
      </c>
      <c r="M192" s="1"/>
      <c r="N192" s="1"/>
      <c r="O192" s="1"/>
      <c r="P192" s="1">
        <f t="shared" si="17"/>
        <v>1.1914065717716747E-8</v>
      </c>
      <c r="Q192" s="4">
        <f t="shared" si="16"/>
        <v>1.5531832443716638E-7</v>
      </c>
      <c r="R192" s="1">
        <f>(K192*10^-3/$W$3)*0.33</f>
        <v>2.2040627674037557E-3</v>
      </c>
      <c r="S192" s="1">
        <f>(J192*10^-3/$W$2)*0.941</f>
        <v>0</v>
      </c>
      <c r="T192" s="14">
        <f>R192+S192</f>
        <v>2.2040627674037557E-3</v>
      </c>
    </row>
    <row r="193" spans="1:20">
      <c r="A193" s="9" t="s">
        <v>79</v>
      </c>
      <c r="B193" s="60" t="s">
        <v>60</v>
      </c>
      <c r="C193" s="68">
        <v>51</v>
      </c>
      <c r="D193" s="3"/>
      <c r="E193" s="3"/>
      <c r="F193" s="3"/>
      <c r="G193" s="3">
        <v>5.16</v>
      </c>
      <c r="H193" s="3">
        <v>19.87</v>
      </c>
      <c r="I193" s="3">
        <v>8.4770000000000003</v>
      </c>
      <c r="J193" s="3">
        <v>0</v>
      </c>
      <c r="K193" s="3">
        <f>91.3*8</f>
        <v>730.4</v>
      </c>
      <c r="L193" s="3">
        <v>21.1</v>
      </c>
      <c r="M193" s="3"/>
      <c r="N193" s="3"/>
      <c r="O193" s="3"/>
      <c r="P193" s="3">
        <f t="shared" si="17"/>
        <v>1.3337056510529369E-8</v>
      </c>
      <c r="Q193" s="113">
        <f t="shared" si="16"/>
        <v>1.6125604710176631E-7</v>
      </c>
      <c r="R193" s="3">
        <f>(K193*10^-3/$W$3)*0.33</f>
        <v>2.509113848677841E-3</v>
      </c>
      <c r="S193" s="3">
        <f>(J193*10^-3/$W$2)*0.941</f>
        <v>0</v>
      </c>
      <c r="T193" s="15">
        <f>R193+S193</f>
        <v>2.509113848677841E-3</v>
      </c>
    </row>
    <row r="200" spans="1:20">
      <c r="I200" s="42"/>
    </row>
    <row r="203" spans="1:20">
      <c r="H203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2DF1-FB06-418B-8D28-994EC24DA838}">
  <dimension ref="A1:G106"/>
  <sheetViews>
    <sheetView workbookViewId="0">
      <selection activeCell="F7" sqref="F7"/>
    </sheetView>
  </sheetViews>
  <sheetFormatPr defaultRowHeight="15"/>
  <cols>
    <col min="1" max="1" width="12.7109375" customWidth="1"/>
    <col min="5" max="5" width="19" bestFit="1" customWidth="1"/>
    <col min="6" max="6" width="22.140625" bestFit="1" customWidth="1"/>
    <col min="7" max="7" width="10.5703125" bestFit="1" customWidth="1"/>
    <col min="8" max="8" width="10.42578125" bestFit="1" customWidth="1"/>
    <col min="12" max="12" width="19" bestFit="1" customWidth="1"/>
    <col min="13" max="14" width="20" bestFit="1" customWidth="1"/>
  </cols>
  <sheetData>
    <row r="1" spans="1:7">
      <c r="A1" s="93" t="s">
        <v>80</v>
      </c>
      <c r="B1" s="94" t="s">
        <v>81</v>
      </c>
      <c r="C1" s="94" t="s">
        <v>82</v>
      </c>
      <c r="D1" s="94" t="s">
        <v>83</v>
      </c>
      <c r="E1" s="95" t="s">
        <v>16</v>
      </c>
      <c r="F1" s="95" t="s">
        <v>84</v>
      </c>
    </row>
    <row r="2" spans="1:7">
      <c r="A2" s="96" t="s">
        <v>23</v>
      </c>
      <c r="B2" s="99">
        <v>10000</v>
      </c>
      <c r="C2" s="32">
        <v>-514.79999999999995</v>
      </c>
      <c r="D2" s="32">
        <f>C2*10^-3</f>
        <v>-0.51479999999999992</v>
      </c>
      <c r="E2" s="32">
        <f>((D2)^2/B2)/D_Calculation_electrode_area!$H$22</f>
        <v>1.4723277040247094E-9</v>
      </c>
      <c r="F2" s="13">
        <f>E2/D2</f>
        <v>-2.8599994250674234E-9</v>
      </c>
    </row>
    <row r="3" spans="1:7">
      <c r="A3" s="97" t="s">
        <v>23</v>
      </c>
      <c r="B3" s="100">
        <v>6800</v>
      </c>
      <c r="C3">
        <v>-474.4</v>
      </c>
      <c r="D3">
        <f>C3*10^-3</f>
        <v>-0.47439999999999999</v>
      </c>
      <c r="E3">
        <f>((D3)^2/B3)/D_Calculation_electrode_area!$H$22</f>
        <v>1.8386872120764835E-9</v>
      </c>
      <c r="F3" s="24">
        <f t="shared" ref="F3:F57" si="0">E3/D3</f>
        <v>-3.8758162143264832E-9</v>
      </c>
    </row>
    <row r="4" spans="1:7">
      <c r="A4" s="97" t="s">
        <v>23</v>
      </c>
      <c r="B4" s="100">
        <v>4700</v>
      </c>
      <c r="C4">
        <v>-415.2</v>
      </c>
      <c r="D4">
        <f>C4*10^-3</f>
        <v>-0.41520000000000001</v>
      </c>
      <c r="E4">
        <f>((D4)^2/B4)/D_Calculation_electrode_area!$H$22</f>
        <v>2.0377187393029118E-9</v>
      </c>
      <c r="F4" s="24">
        <f t="shared" si="0"/>
        <v>-4.9078004318470898E-9</v>
      </c>
    </row>
    <row r="5" spans="1:7">
      <c r="A5" s="97" t="s">
        <v>23</v>
      </c>
      <c r="B5" s="100">
        <v>1000</v>
      </c>
      <c r="C5">
        <v>-162.30000000000001</v>
      </c>
      <c r="D5">
        <f>C5*10^-3</f>
        <v>-0.16230000000000003</v>
      </c>
      <c r="E5">
        <f>((D5)^2/B5)/D_Calculation_electrode_area!$H$22</f>
        <v>1.4634047058184598E-9</v>
      </c>
      <c r="F5" s="24">
        <f t="shared" si="0"/>
        <v>-9.0166648540878592E-9</v>
      </c>
    </row>
    <row r="6" spans="1:7">
      <c r="A6" s="97" t="s">
        <v>23</v>
      </c>
      <c r="B6" s="100">
        <v>560</v>
      </c>
      <c r="C6">
        <v>-103.9</v>
      </c>
      <c r="D6">
        <f>C6*10^-3</f>
        <v>-0.10390000000000001</v>
      </c>
      <c r="E6">
        <f>((D6)^2/B6)/D_Calculation_electrode_area!$H$22</f>
        <v>1.0709531577270683E-9</v>
      </c>
      <c r="F6" s="24">
        <f t="shared" si="0"/>
        <v>-1.0307537610462639E-8</v>
      </c>
      <c r="G6" s="40"/>
    </row>
    <row r="7" spans="1:7">
      <c r="A7" s="97" t="s">
        <v>23</v>
      </c>
      <c r="B7" s="100">
        <v>100</v>
      </c>
      <c r="C7">
        <v>-21.09</v>
      </c>
      <c r="D7">
        <f>C7*10^-3</f>
        <v>-2.1090000000000001E-2</v>
      </c>
      <c r="E7">
        <f>((D7)^2/B7)/D_Calculation_electrode_area!$H$22</f>
        <v>2.4710445032572488E-10</v>
      </c>
      <c r="F7" s="24">
        <f t="shared" si="0"/>
        <v>-1.171666431131934E-8</v>
      </c>
    </row>
    <row r="8" spans="1:7">
      <c r="A8" s="97" t="s">
        <v>23</v>
      </c>
      <c r="B8" s="100">
        <v>10</v>
      </c>
      <c r="C8">
        <v>-2.16</v>
      </c>
      <c r="D8">
        <f>C8*10^-3</f>
        <v>-2.16E-3</v>
      </c>
      <c r="E8">
        <f>((D8)^2/B8)/D_Calculation_electrode_area!$H$22</f>
        <v>2.5919994789422247E-11</v>
      </c>
      <c r="F8" s="24">
        <f t="shared" si="0"/>
        <v>-1.1999997587695484E-8</v>
      </c>
    </row>
    <row r="9" spans="1:7">
      <c r="A9" s="96" t="s">
        <v>27</v>
      </c>
      <c r="B9" s="99">
        <v>10000</v>
      </c>
      <c r="C9" s="32">
        <v>-499.2</v>
      </c>
      <c r="D9" s="32">
        <f>C9*10^-3</f>
        <v>-0.49919999999999998</v>
      </c>
      <c r="E9" s="32">
        <f>((D9)^2/B9)/D_Calculation_electrode_area!$H$22</f>
        <v>1.3844477216908197E-9</v>
      </c>
      <c r="F9" s="13">
        <f t="shared" si="0"/>
        <v>-2.7733327758229562E-9</v>
      </c>
    </row>
    <row r="10" spans="1:7">
      <c r="A10" s="97" t="s">
        <v>27</v>
      </c>
      <c r="B10" s="100">
        <v>6800</v>
      </c>
      <c r="C10">
        <v>-453.6</v>
      </c>
      <c r="D10">
        <f>C10*10^-3</f>
        <v>-0.45360000000000006</v>
      </c>
      <c r="E10">
        <f>((D10)^2/B10)/D_Calculation_electrode_area!$H$22</f>
        <v>1.6809878973728253E-9</v>
      </c>
      <c r="F10" s="24">
        <f t="shared" si="0"/>
        <v>-3.705881607964782E-9</v>
      </c>
    </row>
    <row r="11" spans="1:7">
      <c r="A11" s="97" t="s">
        <v>27</v>
      </c>
      <c r="B11" s="100">
        <v>4700</v>
      </c>
      <c r="C11">
        <v>-387.8</v>
      </c>
      <c r="D11">
        <f>C11*10^-3</f>
        <v>-0.38780000000000003</v>
      </c>
      <c r="E11">
        <f>((D11)^2/B11)/D_Calculation_electrode_area!$H$22</f>
        <v>1.7776455055322327E-9</v>
      </c>
      <c r="F11" s="24">
        <f t="shared" si="0"/>
        <v>-4.5839234283966798E-9</v>
      </c>
    </row>
    <row r="12" spans="1:7">
      <c r="A12" s="97" t="s">
        <v>27</v>
      </c>
      <c r="B12" s="100">
        <v>1000</v>
      </c>
      <c r="C12">
        <v>-125.5</v>
      </c>
      <c r="D12">
        <f>C12*10^-3</f>
        <v>-0.1255</v>
      </c>
      <c r="E12">
        <f>((D12)^2/B12)/D_Calculation_electrode_area!$H$22</f>
        <v>8.750137129888927E-10</v>
      </c>
      <c r="F12" s="24">
        <f t="shared" si="0"/>
        <v>-6.9722208206286267E-9</v>
      </c>
    </row>
    <row r="13" spans="1:7">
      <c r="A13" s="97" t="s">
        <v>27</v>
      </c>
      <c r="B13" s="100">
        <v>560</v>
      </c>
      <c r="C13">
        <v>-76.2</v>
      </c>
      <c r="D13">
        <f>C13*10^-3</f>
        <v>-7.6200000000000004E-2</v>
      </c>
      <c r="E13">
        <f>((D13)^2/B13)/D_Calculation_electrode_area!$H$22</f>
        <v>5.7603559848791813E-10</v>
      </c>
      <c r="F13" s="24">
        <f t="shared" si="0"/>
        <v>-7.5595222898676921E-9</v>
      </c>
    </row>
    <row r="14" spans="1:7">
      <c r="A14" s="97" t="s">
        <v>27</v>
      </c>
      <c r="B14" s="100">
        <v>100</v>
      </c>
      <c r="C14">
        <v>-15.21</v>
      </c>
      <c r="D14">
        <f>C14*10^-3</f>
        <v>-1.5210000000000001E-2</v>
      </c>
      <c r="E14">
        <f>((D14)^2/B14)/D_Calculation_electrode_area!$H$22</f>
        <v>1.2852447416331404E-10</v>
      </c>
      <c r="F14" s="24">
        <f t="shared" si="0"/>
        <v>-8.4499983013355698E-9</v>
      </c>
    </row>
    <row r="15" spans="1:7">
      <c r="A15" s="98" t="s">
        <v>27</v>
      </c>
      <c r="B15" s="101">
        <v>10</v>
      </c>
      <c r="C15" s="25">
        <v>-1.55</v>
      </c>
      <c r="D15" s="25">
        <f>C15*10^-3</f>
        <v>-1.5500000000000002E-3</v>
      </c>
      <c r="E15" s="25">
        <f>((D15)^2/B15)/D_Calculation_electrode_area!$H$22</f>
        <v>1.3347219539091856E-11</v>
      </c>
      <c r="F15" s="26">
        <f t="shared" si="0"/>
        <v>-8.6111093800592615E-9</v>
      </c>
    </row>
    <row r="16" spans="1:7">
      <c r="A16" s="97" t="s">
        <v>30</v>
      </c>
      <c r="B16" s="100">
        <v>10000</v>
      </c>
      <c r="C16">
        <v>-311.3</v>
      </c>
      <c r="D16">
        <f>C16*10^-3</f>
        <v>-0.31130000000000002</v>
      </c>
      <c r="E16">
        <f>((D16)^2/B16)/D_Calculation_electrode_area!$H$22</f>
        <v>5.3837594732830651E-10</v>
      </c>
      <c r="F16" s="24">
        <f t="shared" si="0"/>
        <v>-1.7294440967822244E-9</v>
      </c>
    </row>
    <row r="17" spans="1:6">
      <c r="A17" s="97" t="s">
        <v>30</v>
      </c>
      <c r="B17" s="100">
        <v>6800</v>
      </c>
      <c r="C17">
        <v>-286.7</v>
      </c>
      <c r="D17">
        <f>C17*10^-3</f>
        <v>-0.28670000000000001</v>
      </c>
      <c r="E17">
        <f>((D17)^2/B17)/D_Calculation_electrode_area!$H$22</f>
        <v>6.715430839570202E-10</v>
      </c>
      <c r="F17" s="24">
        <f t="shared" si="0"/>
        <v>-2.3423197905720971E-9</v>
      </c>
    </row>
    <row r="18" spans="1:6">
      <c r="A18" s="97" t="s">
        <v>30</v>
      </c>
      <c r="B18" s="100">
        <v>4700</v>
      </c>
      <c r="C18">
        <v>-261.2</v>
      </c>
      <c r="D18">
        <f>C18*10^-3</f>
        <v>-0.26119999999999999</v>
      </c>
      <c r="E18">
        <f>((D18)^2/B18)/D_Calculation_electrode_area!$H$22</f>
        <v>8.064471192075089E-10</v>
      </c>
      <c r="F18" s="24">
        <f t="shared" si="0"/>
        <v>-3.0874698285126682E-9</v>
      </c>
    </row>
    <row r="19" spans="1:6">
      <c r="A19" s="97" t="s">
        <v>30</v>
      </c>
      <c r="B19" s="100">
        <v>1000</v>
      </c>
      <c r="C19">
        <v>-159.1</v>
      </c>
      <c r="D19">
        <f>C19*10^-3</f>
        <v>-0.15909999999999999</v>
      </c>
      <c r="E19">
        <f>((D19)^2/B19)/D_Calculation_electrode_area!$H$22</f>
        <v>1.4062669395268245E-9</v>
      </c>
      <c r="F19" s="24">
        <f t="shared" si="0"/>
        <v>-8.838887112047923E-9</v>
      </c>
    </row>
    <row r="20" spans="1:6">
      <c r="A20" s="97" t="s">
        <v>30</v>
      </c>
      <c r="B20" s="100">
        <v>560</v>
      </c>
      <c r="C20">
        <v>-119.7</v>
      </c>
      <c r="D20">
        <f>C20*10^-3</f>
        <v>-0.1197</v>
      </c>
      <c r="E20">
        <f>((D20)^2/B20)/D_Calculation_electrode_area!$H$22</f>
        <v>1.4214372142549918E-9</v>
      </c>
      <c r="F20" s="24">
        <f t="shared" si="0"/>
        <v>-1.1874997612823658E-8</v>
      </c>
    </row>
    <row r="21" spans="1:6">
      <c r="A21" s="97" t="s">
        <v>30</v>
      </c>
      <c r="B21" s="100">
        <v>100</v>
      </c>
      <c r="C21">
        <v>-30.76</v>
      </c>
      <c r="D21">
        <f>C21*10^-3</f>
        <v>-3.0760000000000003E-2</v>
      </c>
      <c r="E21">
        <f>((D21)^2/B21)/D_Calculation_electrode_area!$H$22</f>
        <v>5.2565411655238451E-10</v>
      </c>
      <c r="F21" s="24">
        <f t="shared" si="0"/>
        <v>-1.708888545358857E-8</v>
      </c>
    </row>
    <row r="22" spans="1:6">
      <c r="A22" s="97" t="s">
        <v>30</v>
      </c>
      <c r="B22" s="100">
        <v>10</v>
      </c>
      <c r="C22">
        <v>-3.17</v>
      </c>
      <c r="D22">
        <f>C22*10^-3</f>
        <v>-3.1700000000000001E-3</v>
      </c>
      <c r="E22">
        <f>((D22)^2/B22)/D_Calculation_electrode_area!$H$22</f>
        <v>5.5827210999533873E-11</v>
      </c>
      <c r="F22" s="24">
        <f>E22/D22</f>
        <v>-1.7611107570830875E-8</v>
      </c>
    </row>
    <row r="23" spans="1:6">
      <c r="A23" s="96" t="s">
        <v>36</v>
      </c>
      <c r="B23" s="99">
        <v>10000</v>
      </c>
      <c r="C23" s="32">
        <v>-440</v>
      </c>
      <c r="D23" s="32">
        <f>C23*10^-3</f>
        <v>-0.44</v>
      </c>
      <c r="E23" s="32">
        <f>((D23)^2/B23)/D_Calculation_electrode_area!$H$21</f>
        <v>5.3503461074228455E-3</v>
      </c>
      <c r="F23" s="13">
        <f>E23/D23</f>
        <v>-1.2159877516870104E-2</v>
      </c>
    </row>
    <row r="24" spans="1:6">
      <c r="A24" s="97" t="s">
        <v>36</v>
      </c>
      <c r="B24" s="100">
        <v>6800</v>
      </c>
      <c r="C24">
        <v>-390</v>
      </c>
      <c r="D24">
        <f>C24*10^-3</f>
        <v>-0.39</v>
      </c>
      <c r="E24">
        <f>((D24)^2/B24)/D_Calculation_electrode_area!$H$21</f>
        <v>6.1815420130880445E-3</v>
      </c>
      <c r="F24" s="24">
        <f t="shared" ref="F24:F43" si="1">E24/D24</f>
        <v>-1.5850107725866779E-2</v>
      </c>
    </row>
    <row r="25" spans="1:6">
      <c r="A25" s="97" t="s">
        <v>36</v>
      </c>
      <c r="B25" s="100">
        <v>4700</v>
      </c>
      <c r="C25">
        <v>-338</v>
      </c>
      <c r="D25">
        <f>C25*10^-3</f>
        <v>-0.33800000000000002</v>
      </c>
      <c r="E25">
        <f>((D25)^2/B25)/D_Calculation_electrode_area!$H$21</f>
        <v>6.7175679257123217E-3</v>
      </c>
      <c r="F25" s="24">
        <f t="shared" si="1"/>
        <v>-1.9874461318675506E-2</v>
      </c>
    </row>
    <row r="26" spans="1:6">
      <c r="A26" s="97" t="s">
        <v>36</v>
      </c>
      <c r="B26" s="100">
        <v>1000</v>
      </c>
      <c r="C26">
        <v>-136</v>
      </c>
      <c r="D26">
        <f>C26*10^-3</f>
        <v>-0.13600000000000001</v>
      </c>
      <c r="E26">
        <f>((D26)^2/B26)/D_Calculation_electrode_area!$H$21</f>
        <v>5.1115703307279417E-3</v>
      </c>
      <c r="F26" s="24">
        <f t="shared" si="1"/>
        <v>-3.7585075961234865E-2</v>
      </c>
    </row>
    <row r="27" spans="1:6">
      <c r="A27" s="97" t="s">
        <v>36</v>
      </c>
      <c r="B27" s="100">
        <v>560</v>
      </c>
      <c r="C27">
        <v>-85</v>
      </c>
      <c r="D27">
        <f>C27*10^-3</f>
        <v>-8.5000000000000006E-2</v>
      </c>
      <c r="E27">
        <f>((D27)^2/B27)/D_Calculation_electrode_area!$H$21</f>
        <v>3.5655485007867901E-3</v>
      </c>
      <c r="F27" s="24">
        <f t="shared" si="1"/>
        <v>-4.1947629421021058E-2</v>
      </c>
    </row>
    <row r="28" spans="1:6">
      <c r="A28" s="97" t="s">
        <v>36</v>
      </c>
      <c r="B28" s="100">
        <v>100</v>
      </c>
      <c r="C28">
        <v>-17.7</v>
      </c>
      <c r="D28">
        <f>C28*10^-3</f>
        <v>-1.77E-2</v>
      </c>
      <c r="E28">
        <f>((D28)^2/B28)/D_Calculation_electrode_area!$H$21</f>
        <v>8.6581091528641692E-4</v>
      </c>
      <c r="F28" s="24">
        <f t="shared" si="1"/>
        <v>-4.891587092013655E-2</v>
      </c>
    </row>
    <row r="29" spans="1:6">
      <c r="A29" s="98" t="s">
        <v>36</v>
      </c>
      <c r="B29" s="101">
        <v>10</v>
      </c>
      <c r="C29" s="25">
        <v>-1.8</v>
      </c>
      <c r="D29" s="25">
        <f>C29*10^-3</f>
        <v>-1.8000000000000002E-3</v>
      </c>
      <c r="E29" s="25">
        <f>((D29)^2/B29)/D_Calculation_electrode_area!$H$21</f>
        <v>8.9540916260588967E-5</v>
      </c>
      <c r="F29" s="26">
        <f t="shared" si="1"/>
        <v>-4.9744953478104974E-2</v>
      </c>
    </row>
    <row r="30" spans="1:6">
      <c r="A30" s="97" t="s">
        <v>37</v>
      </c>
      <c r="B30" s="100">
        <v>10000</v>
      </c>
      <c r="C30">
        <v>-287</v>
      </c>
      <c r="D30">
        <f>C30*10^-3</f>
        <v>-0.28700000000000003</v>
      </c>
      <c r="E30">
        <f>((D30)^2/B30)/D_Calculation_electrode_area!$H$21</f>
        <v>2.2763567072433496E-3</v>
      </c>
      <c r="F30" s="24">
        <f>E30/D30</f>
        <v>-7.9315564712311819E-3</v>
      </c>
    </row>
    <row r="31" spans="1:6">
      <c r="A31" s="97" t="s">
        <v>37</v>
      </c>
      <c r="B31" s="100">
        <v>6800</v>
      </c>
      <c r="C31">
        <v>-183</v>
      </c>
      <c r="D31">
        <f>C31*10^-3</f>
        <v>-0.183</v>
      </c>
      <c r="E31">
        <f>((D31)^2/B31)/D_Calculation_electrode_area!$H$21</f>
        <v>1.3610365580296218E-3</v>
      </c>
      <c r="F31" s="24">
        <f>E31/D31</f>
        <v>-7.4373582405990266E-3</v>
      </c>
    </row>
    <row r="32" spans="1:6">
      <c r="A32" s="97" t="s">
        <v>37</v>
      </c>
      <c r="B32" s="100">
        <v>4700</v>
      </c>
      <c r="C32">
        <v>-149</v>
      </c>
      <c r="D32">
        <f>C32*10^-3</f>
        <v>-0.14899999999999999</v>
      </c>
      <c r="E32">
        <f>((D32)^2/B32)/D_Calculation_electrode_area!$H$21</f>
        <v>1.3054228276210501E-3</v>
      </c>
      <c r="F32" s="24">
        <f>E32/D32</f>
        <v>-8.7612270310137592E-3</v>
      </c>
    </row>
    <row r="33" spans="1:6">
      <c r="A33" s="97" t="s">
        <v>37</v>
      </c>
      <c r="B33" s="100">
        <v>1000</v>
      </c>
      <c r="C33">
        <v>-48</v>
      </c>
      <c r="D33">
        <f>C33*10^-3</f>
        <v>-4.8000000000000001E-2</v>
      </c>
      <c r="E33">
        <f>((D33)^2/B33)/D_Calculation_electrode_area!$H$21</f>
        <v>6.3673540451974358E-4</v>
      </c>
      <c r="F33" s="24">
        <f>E33/D33</f>
        <v>-1.3265320927494658E-2</v>
      </c>
    </row>
    <row r="34" spans="1:6">
      <c r="A34" s="97" t="s">
        <v>37</v>
      </c>
      <c r="B34" s="100">
        <v>560</v>
      </c>
      <c r="C34">
        <v>-30</v>
      </c>
      <c r="D34">
        <f>C34*10^-3</f>
        <v>-0.03</v>
      </c>
      <c r="E34">
        <f>((D34)^2/B34)/D_Calculation_electrode_area!$H$21</f>
        <v>4.4415137034022289E-4</v>
      </c>
      <c r="F34" s="24">
        <f>E34/D34</f>
        <v>-1.4805045678007431E-2</v>
      </c>
    </row>
    <row r="35" spans="1:6">
      <c r="A35" s="97" t="s">
        <v>37</v>
      </c>
      <c r="B35" s="100">
        <v>100</v>
      </c>
      <c r="C35">
        <v>-6.9</v>
      </c>
      <c r="D35">
        <f>C35*10^-3</f>
        <v>-6.9000000000000008E-3</v>
      </c>
      <c r="E35">
        <f>((D35)^2/B35)/D_Calculation_electrode_area!$H$21</f>
        <v>1.3157540194958767E-4</v>
      </c>
      <c r="F35" s="24">
        <f t="shared" ref="F31:F43" si="2">E35/D35</f>
        <v>-1.9068898833273572E-2</v>
      </c>
    </row>
    <row r="36" spans="1:6">
      <c r="A36" s="98" t="s">
        <v>37</v>
      </c>
      <c r="B36" s="101">
        <v>10</v>
      </c>
      <c r="C36" s="25">
        <v>-0.71</v>
      </c>
      <c r="D36" s="25">
        <f>C36*10^-3</f>
        <v>-7.1000000000000002E-4</v>
      </c>
      <c r="E36" s="25">
        <f>((D36)^2/B36)/D_Calculation_electrode_area!$H$21</f>
        <v>1.3931350582395953E-5</v>
      </c>
      <c r="F36" s="26">
        <f t="shared" si="2"/>
        <v>-1.9621620538585849E-2</v>
      </c>
    </row>
    <row r="37" spans="1:6">
      <c r="A37" s="97" t="s">
        <v>38</v>
      </c>
      <c r="B37" s="100">
        <v>10000</v>
      </c>
      <c r="C37">
        <v>-292</v>
      </c>
      <c r="D37">
        <f>C37*10^-3</f>
        <v>-0.29199999999999998</v>
      </c>
      <c r="E37">
        <f>((D37)^2/B37)/D_Calculation_electrode_area!$H$21</f>
        <v>2.3563631740873008E-3</v>
      </c>
      <c r="F37" s="24">
        <f>E37/D37</f>
        <v>-8.0697368975592501E-3</v>
      </c>
    </row>
    <row r="38" spans="1:6">
      <c r="A38" s="97" t="s">
        <v>38</v>
      </c>
      <c r="B38" s="100">
        <v>6800</v>
      </c>
      <c r="C38">
        <v>-261</v>
      </c>
      <c r="D38">
        <f>C38*10^-3</f>
        <v>-0.26100000000000001</v>
      </c>
      <c r="E38">
        <f>((D38)^2/B38)/D_Calculation_electrode_area!$H$21</f>
        <v>2.7685261240865916E-3</v>
      </c>
      <c r="F38" s="24">
        <f t="shared" ref="F38:F43" si="3">E38/D38</f>
        <v>-1.0607379785772381E-2</v>
      </c>
    </row>
    <row r="39" spans="1:6">
      <c r="A39" s="97" t="s">
        <v>38</v>
      </c>
      <c r="B39" s="100">
        <v>4700</v>
      </c>
      <c r="C39">
        <v>-223</v>
      </c>
      <c r="D39">
        <f>C39*10^-3</f>
        <v>-0.223</v>
      </c>
      <c r="E39">
        <f>((D39)^2/B39)/D_Calculation_electrode_area!$H$21</f>
        <v>2.9240742216461962E-3</v>
      </c>
      <c r="F39" s="24">
        <f t="shared" si="3"/>
        <v>-1.3112440455812538E-2</v>
      </c>
    </row>
    <row r="40" spans="1:6">
      <c r="A40" s="97" t="s">
        <v>38</v>
      </c>
      <c r="B40" s="100">
        <v>1000</v>
      </c>
      <c r="C40">
        <v>-80</v>
      </c>
      <c r="D40">
        <f>C40*10^-3</f>
        <v>-0.08</v>
      </c>
      <c r="E40">
        <f>((D40)^2/B40)/D_Calculation_electrode_area!$H$21</f>
        <v>1.7687094569992878E-3</v>
      </c>
      <c r="F40" s="24">
        <f t="shared" si="3"/>
        <v>-2.2108868212491098E-2</v>
      </c>
    </row>
    <row r="41" spans="1:6">
      <c r="A41" s="97" t="s">
        <v>38</v>
      </c>
      <c r="B41" s="100">
        <v>560</v>
      </c>
      <c r="C41">
        <v>-50</v>
      </c>
      <c r="D41">
        <f>C41*10^-3</f>
        <v>-0.05</v>
      </c>
      <c r="E41">
        <f>((D41)^2/B41)/D_Calculation_electrode_area!$H$21</f>
        <v>1.2337538065006195E-3</v>
      </c>
      <c r="F41" s="24">
        <f t="shared" si="3"/>
        <v>-2.467507613001239E-2</v>
      </c>
    </row>
    <row r="42" spans="1:6">
      <c r="A42" s="97" t="s">
        <v>38</v>
      </c>
      <c r="B42" s="100">
        <v>100</v>
      </c>
      <c r="C42">
        <v>-11</v>
      </c>
      <c r="D42">
        <f>C42*10^-3</f>
        <v>-1.0999999999999999E-2</v>
      </c>
      <c r="E42">
        <f>((D42)^2/B42)/D_Calculation_electrode_area!$H$21</f>
        <v>3.3439663171392779E-4</v>
      </c>
      <c r="F42" s="24">
        <f t="shared" si="3"/>
        <v>-3.0399693792175254E-2</v>
      </c>
    </row>
    <row r="43" spans="1:6">
      <c r="A43" s="98" t="s">
        <v>38</v>
      </c>
      <c r="B43" s="101">
        <v>10</v>
      </c>
      <c r="C43" s="25">
        <v>-1.2</v>
      </c>
      <c r="D43" s="25">
        <f>C43*10^-3</f>
        <v>-1.1999999999999999E-3</v>
      </c>
      <c r="E43" s="25">
        <f>((D43)^2/B43)/D_Calculation_electrode_area!$H$21</f>
        <v>3.979596278248396E-5</v>
      </c>
      <c r="F43" s="26">
        <f t="shared" si="3"/>
        <v>-3.316330231873664E-2</v>
      </c>
    </row>
    <row r="44" spans="1:6">
      <c r="A44" s="97" t="s">
        <v>85</v>
      </c>
      <c r="B44" s="100">
        <v>10000</v>
      </c>
      <c r="C44">
        <v>-212.2</v>
      </c>
      <c r="D44">
        <f>C44*10^-3</f>
        <v>-0.2122</v>
      </c>
      <c r="E44">
        <f>((D44)^2/B44)/D_Calculation_electrode_area!$H$22</f>
        <v>2.5016017193366943E-10</v>
      </c>
      <c r="F44" s="24">
        <f t="shared" si="0"/>
        <v>-1.1788886519023066E-9</v>
      </c>
    </row>
    <row r="45" spans="1:6">
      <c r="A45" s="97" t="s">
        <v>85</v>
      </c>
      <c r="B45" s="100">
        <v>6800</v>
      </c>
      <c r="C45">
        <v>-175.8</v>
      </c>
      <c r="D45">
        <f>C45*10^-3</f>
        <v>-0.17580000000000001</v>
      </c>
      <c r="E45">
        <f>((D45)^2/B45)/D_Calculation_electrode_area!$H$22</f>
        <v>2.524970080652132E-10</v>
      </c>
      <c r="F45" s="24">
        <f t="shared" si="0"/>
        <v>-1.4362742210762979E-9</v>
      </c>
    </row>
    <row r="46" spans="1:6">
      <c r="A46" s="97" t="s">
        <v>85</v>
      </c>
      <c r="B46" s="100">
        <v>4700</v>
      </c>
      <c r="C46">
        <v>-127.3</v>
      </c>
      <c r="D46">
        <f>C46*10^-3</f>
        <v>-0.1273</v>
      </c>
      <c r="E46">
        <f>((D46)^2/B46)/D_Calculation_electrode_area!$H$22</f>
        <v>1.915518527461641E-10</v>
      </c>
      <c r="F46" s="24">
        <f t="shared" si="0"/>
        <v>-1.5047278298991682E-9</v>
      </c>
    </row>
    <row r="47" spans="1:6">
      <c r="A47" s="97" t="s">
        <v>85</v>
      </c>
      <c r="B47" s="100">
        <v>1000</v>
      </c>
      <c r="C47">
        <v>-37.479999999999997</v>
      </c>
      <c r="D47">
        <f>C47*10^-3</f>
        <v>-3.7479999999999999E-2</v>
      </c>
      <c r="E47">
        <f>((D47)^2/B47)/D_Calculation_electrode_area!$H$22</f>
        <v>7.8041673200529014E-11</v>
      </c>
      <c r="F47" s="24">
        <f t="shared" si="0"/>
        <v>-2.0822218036427165E-9</v>
      </c>
    </row>
    <row r="48" spans="1:6">
      <c r="A48" s="97" t="s">
        <v>85</v>
      </c>
      <c r="B48" s="100">
        <v>560</v>
      </c>
      <c r="C48">
        <v>-16.7</v>
      </c>
      <c r="D48">
        <f>C48*10^-3</f>
        <v>-1.67E-2</v>
      </c>
      <c r="E48">
        <f>((D48)^2/B48)/D_Calculation_electrode_area!$H$22</f>
        <v>2.7667653168257227E-11</v>
      </c>
      <c r="F48" s="24">
        <f t="shared" si="0"/>
        <v>-1.6567456986980375E-9</v>
      </c>
    </row>
    <row r="49" spans="1:6">
      <c r="A49" s="97" t="s">
        <v>85</v>
      </c>
      <c r="B49" s="100">
        <v>100</v>
      </c>
      <c r="C49">
        <v>-2.65</v>
      </c>
      <c r="D49">
        <f>C49*10^-3</f>
        <v>-2.65E-3</v>
      </c>
      <c r="E49">
        <f>((D49)^2/B49)/D_Calculation_electrode_area!$H$22</f>
        <v>3.9013881046107192E-12</v>
      </c>
      <c r="F49" s="24">
        <f t="shared" si="0"/>
        <v>-1.472221926268196E-9</v>
      </c>
    </row>
    <row r="50" spans="1:6">
      <c r="A50" s="97" t="s">
        <v>85</v>
      </c>
      <c r="B50" s="100">
        <v>10</v>
      </c>
      <c r="C50">
        <v>-0.25</v>
      </c>
      <c r="D50">
        <f>C50*10^-3</f>
        <v>-2.5000000000000001E-4</v>
      </c>
      <c r="E50">
        <f>((D50)^2/B50)/D_Calculation_electrode_area!$H$22</f>
        <v>3.4722215242174435E-13</v>
      </c>
      <c r="F50" s="24">
        <f t="shared" si="0"/>
        <v>-1.3888886096869774E-9</v>
      </c>
    </row>
    <row r="51" spans="1:6">
      <c r="A51" s="96" t="s">
        <v>86</v>
      </c>
      <c r="B51" s="99">
        <v>10000</v>
      </c>
      <c r="C51" s="32">
        <v>-203.1</v>
      </c>
      <c r="D51" s="32">
        <f>C51*10^-3</f>
        <v>-0.2031</v>
      </c>
      <c r="E51" s="32">
        <f>((D51)^2/B51)/D_Calculation_electrode_area!$H$21</f>
        <v>1.1399777391333187E-3</v>
      </c>
      <c r="F51" s="13">
        <f t="shared" si="0"/>
        <v>-5.612888917446178E-3</v>
      </c>
    </row>
    <row r="52" spans="1:6">
      <c r="A52" s="97" t="s">
        <v>86</v>
      </c>
      <c r="B52" s="100">
        <v>6800</v>
      </c>
      <c r="C52">
        <v>-169.4</v>
      </c>
      <c r="D52">
        <f>C52*10^-3</f>
        <v>-0.16940000000000002</v>
      </c>
      <c r="E52">
        <f>((D52)^2/B52)/D_Calculation_electrode_area!$H$21</f>
        <v>1.1662574290775755E-3</v>
      </c>
      <c r="F52" s="24">
        <f t="shared" si="0"/>
        <v>-6.8846365352867494E-3</v>
      </c>
    </row>
    <row r="53" spans="1:6">
      <c r="A53" s="97" t="s">
        <v>86</v>
      </c>
      <c r="B53" s="100">
        <v>4700</v>
      </c>
      <c r="C53">
        <v>-116.7</v>
      </c>
      <c r="D53">
        <f>C53*10^-3</f>
        <v>-0.11670000000000001</v>
      </c>
      <c r="E53">
        <f>((D53)^2/B53)/D_Calculation_electrode_area!$H$21</f>
        <v>8.007932026872685E-4</v>
      </c>
      <c r="F53" s="24">
        <f t="shared" si="0"/>
        <v>-6.8619811712705096E-3</v>
      </c>
    </row>
    <row r="54" spans="1:6">
      <c r="A54" s="97" t="s">
        <v>86</v>
      </c>
      <c r="B54" s="100">
        <v>1000</v>
      </c>
      <c r="C54">
        <v>-25.45</v>
      </c>
      <c r="D54">
        <f>C54*10^-3</f>
        <v>-2.545E-2</v>
      </c>
      <c r="E54">
        <f>((D54)^2/B54)/D_Calculation_electrode_area!$H$21</f>
        <v>1.7899961516751269E-4</v>
      </c>
      <c r="F54" s="24">
        <f t="shared" si="0"/>
        <v>-7.0333837000987305E-3</v>
      </c>
    </row>
    <row r="55" spans="1:6">
      <c r="A55" s="97" t="s">
        <v>86</v>
      </c>
      <c r="B55" s="100">
        <v>560</v>
      </c>
      <c r="C55">
        <v>-23.44</v>
      </c>
      <c r="D55">
        <f>C55*10^-3</f>
        <v>-2.3440000000000003E-2</v>
      </c>
      <c r="E55">
        <f>((D55)^2/B55)/D_Calculation_electrode_area!$H$21</f>
        <v>2.7114631816773548E-4</v>
      </c>
      <c r="F55" s="24">
        <f t="shared" si="0"/>
        <v>-1.1567675689749805E-2</v>
      </c>
    </row>
    <row r="56" spans="1:6">
      <c r="A56" s="97" t="s">
        <v>86</v>
      </c>
      <c r="B56" s="100">
        <v>100</v>
      </c>
      <c r="C56">
        <v>-5.14</v>
      </c>
      <c r="D56">
        <f>C56*10^-3</f>
        <v>-5.1399999999999996E-3</v>
      </c>
      <c r="E56">
        <f>((D56)^2/B56)/D_Calculation_electrode_area!$H$21</f>
        <v>7.301343182834122E-5</v>
      </c>
      <c r="F56" s="24">
        <f t="shared" si="0"/>
        <v>-1.4204947826525531E-2</v>
      </c>
    </row>
    <row r="57" spans="1:6">
      <c r="A57" s="98" t="s">
        <v>86</v>
      </c>
      <c r="B57" s="101">
        <v>10</v>
      </c>
      <c r="C57" s="25">
        <v>-0.51</v>
      </c>
      <c r="D57" s="25">
        <f>C57*10^-3</f>
        <v>-5.1000000000000004E-4</v>
      </c>
      <c r="E57" s="25">
        <f>((D57)^2/B57)/D_Calculation_electrode_area!$H$21</f>
        <v>7.188145777586169E-6</v>
      </c>
      <c r="F57" s="26">
        <f t="shared" si="0"/>
        <v>-1.4094403485463076E-2</v>
      </c>
    </row>
    <row r="58" spans="1:6">
      <c r="A58" s="97" t="s">
        <v>68</v>
      </c>
      <c r="B58" s="100">
        <v>10000</v>
      </c>
      <c r="C58">
        <v>-533.4</v>
      </c>
      <c r="D58">
        <f>C58*10^-3</f>
        <v>-0.53339999999999999</v>
      </c>
      <c r="E58">
        <f>(D58^2/B58)/D_Calculation_electrode_area!$B$19</f>
        <v>2.2370780719171441E-3</v>
      </c>
      <c r="F58" s="24">
        <f>E58/D58</f>
        <v>-4.1939971352027454E-3</v>
      </c>
    </row>
    <row r="59" spans="1:6">
      <c r="A59" s="97" t="s">
        <v>68</v>
      </c>
      <c r="B59" s="100">
        <v>6800</v>
      </c>
      <c r="C59">
        <v>-519.29999999999995</v>
      </c>
      <c r="D59">
        <f t="shared" ref="D59:D106" si="4">C59*10^-3</f>
        <v>-0.51929999999999998</v>
      </c>
      <c r="E59">
        <f>(D59^2/B59)/D_Calculation_electrode_area!$B$19</f>
        <v>3.1181919829037659E-3</v>
      </c>
      <c r="F59" s="24">
        <f>E59/D59</f>
        <v>-6.0046061677330367E-3</v>
      </c>
    </row>
    <row r="60" spans="1:6">
      <c r="A60" s="97" t="s">
        <v>68</v>
      </c>
      <c r="B60" s="100">
        <v>4700</v>
      </c>
      <c r="C60">
        <v>-487.3</v>
      </c>
      <c r="D60">
        <f t="shared" si="4"/>
        <v>-0.48730000000000001</v>
      </c>
      <c r="E60">
        <f>(D60^2/B60)/D_Calculation_electrode_area!$B$19</f>
        <v>3.972556502172128E-3</v>
      </c>
      <c r="F60" s="24">
        <f t="shared" ref="F60:F106" si="5">E60/D60</f>
        <v>-8.1521783340285821E-3</v>
      </c>
    </row>
    <row r="61" spans="1:6">
      <c r="A61" s="97" t="s">
        <v>68</v>
      </c>
      <c r="B61" s="100">
        <v>1000</v>
      </c>
      <c r="C61">
        <v>-201.4</v>
      </c>
      <c r="D61">
        <f t="shared" si="4"/>
        <v>-0.20140000000000002</v>
      </c>
      <c r="E61">
        <f>(D61^2/B61)/D_Calculation_electrode_area!$B$19</f>
        <v>3.1892902894302276E-3</v>
      </c>
      <c r="F61" s="24">
        <f t="shared" si="5"/>
        <v>-1.5835602231530424E-2</v>
      </c>
    </row>
    <row r="62" spans="1:6">
      <c r="A62" s="97" t="s">
        <v>68</v>
      </c>
      <c r="B62" s="100">
        <v>560</v>
      </c>
      <c r="C62">
        <v>-123</v>
      </c>
      <c r="D62">
        <f t="shared" si="4"/>
        <v>-0.123</v>
      </c>
      <c r="E62">
        <f>(D62^2/B62)/D_Calculation_electrode_area!$B$19</f>
        <v>2.1242093396299454E-3</v>
      </c>
      <c r="F62" s="24">
        <f t="shared" si="5"/>
        <v>-1.7269994631137767E-2</v>
      </c>
    </row>
    <row r="63" spans="1:6">
      <c r="A63" s="97" t="s">
        <v>68</v>
      </c>
      <c r="B63" s="100">
        <v>100</v>
      </c>
      <c r="C63">
        <v>-24.31</v>
      </c>
      <c r="D63">
        <f t="shared" si="4"/>
        <v>-2.4309999999999998E-2</v>
      </c>
      <c r="E63">
        <f>(D63^2/B63)/D_Calculation_electrode_area!$B$19</f>
        <v>4.64670429391318E-4</v>
      </c>
      <c r="F63" s="24">
        <f t="shared" si="5"/>
        <v>-1.9114373895159114E-2</v>
      </c>
    </row>
    <row r="64" spans="1:6">
      <c r="A64" s="97" t="s">
        <v>68</v>
      </c>
      <c r="B64" s="100">
        <v>10</v>
      </c>
      <c r="C64">
        <v>-2.4500000000000002</v>
      </c>
      <c r="D64">
        <f t="shared" si="4"/>
        <v>-2.4500000000000004E-3</v>
      </c>
      <c r="E64">
        <f>(D64^2/B64)/D_Calculation_electrode_area!$B$19</f>
        <v>4.7196227604151631E-5</v>
      </c>
      <c r="F64" s="24">
        <f t="shared" si="5"/>
        <v>-1.926376636904148E-2</v>
      </c>
    </row>
    <row r="65" spans="1:6">
      <c r="A65" s="96" t="s">
        <v>69</v>
      </c>
      <c r="B65" s="99">
        <v>10000</v>
      </c>
      <c r="C65" s="32">
        <v>-568.6</v>
      </c>
      <c r="D65" s="32">
        <f t="shared" si="4"/>
        <v>-0.56859999999999999</v>
      </c>
      <c r="E65" s="32">
        <f>(D65^2/B65)/D_Calculation_electrode_area!$B$19</f>
        <v>2.5420777465953752E-3</v>
      </c>
      <c r="F65" s="13">
        <f t="shared" si="5"/>
        <v>-4.4707663499742789E-3</v>
      </c>
    </row>
    <row r="66" spans="1:6">
      <c r="A66" s="97" t="s">
        <v>69</v>
      </c>
      <c r="B66" s="100">
        <v>6800</v>
      </c>
      <c r="C66">
        <v>-550.20000000000005</v>
      </c>
      <c r="D66">
        <f t="shared" si="4"/>
        <v>-0.55020000000000002</v>
      </c>
      <c r="E66">
        <f>(D66^2/B66)/D_Calculation_electrode_area!$B$19</f>
        <v>3.5003170022730444E-3</v>
      </c>
      <c r="F66" s="24">
        <f t="shared" si="5"/>
        <v>-6.3618993134733626E-3</v>
      </c>
    </row>
    <row r="67" spans="1:6">
      <c r="A67" s="97" t="s">
        <v>69</v>
      </c>
      <c r="B67" s="100">
        <v>4700</v>
      </c>
      <c r="C67">
        <v>-518.29999999999995</v>
      </c>
      <c r="D67">
        <f t="shared" si="4"/>
        <v>-0.51829999999999998</v>
      </c>
      <c r="E67">
        <f>(D67^2/B67)/D_Calculation_electrode_area!$B$19</f>
        <v>4.4940683973366527E-3</v>
      </c>
      <c r="F67" s="24">
        <f t="shared" si="5"/>
        <v>-8.6707860261174084E-3</v>
      </c>
    </row>
    <row r="68" spans="1:6">
      <c r="A68" s="97" t="s">
        <v>69</v>
      </c>
      <c r="B68" s="100">
        <v>1000</v>
      </c>
      <c r="C68">
        <v>-285.60000000000002</v>
      </c>
      <c r="D68">
        <f t="shared" si="4"/>
        <v>-0.28560000000000002</v>
      </c>
      <c r="E68">
        <f>(D68^2/B68)/D_Calculation_electrode_area!$B$19</f>
        <v>6.4134472097122424E-3</v>
      </c>
      <c r="F68" s="24">
        <f t="shared" si="5"/>
        <v>-2.2456047653054069E-2</v>
      </c>
    </row>
    <row r="69" spans="1:6">
      <c r="A69" s="97" t="s">
        <v>69</v>
      </c>
      <c r="B69" s="100">
        <v>560</v>
      </c>
      <c r="C69">
        <v>-193.6</v>
      </c>
      <c r="D69">
        <f t="shared" si="4"/>
        <v>-0.19359999999999999</v>
      </c>
      <c r="E69">
        <f>(D69^2/B69)/D_Calculation_electrode_area!$B$19</f>
        <v>5.2625689265844667E-3</v>
      </c>
      <c r="F69" s="24">
        <f t="shared" si="5"/>
        <v>-2.7182690736490014E-2</v>
      </c>
    </row>
    <row r="70" spans="1:6">
      <c r="A70" s="97" t="s">
        <v>69</v>
      </c>
      <c r="B70" s="100">
        <v>100</v>
      </c>
      <c r="C70">
        <v>-44.3</v>
      </c>
      <c r="D70">
        <f t="shared" si="4"/>
        <v>-4.4299999999999999E-2</v>
      </c>
      <c r="E70">
        <f>(D70^2/B70)/D_Calculation_electrode_area!$B$19</f>
        <v>1.5430591372073556E-3</v>
      </c>
      <c r="F70" s="24">
        <f t="shared" si="5"/>
        <v>-3.4832034699940305E-2</v>
      </c>
    </row>
    <row r="71" spans="1:6">
      <c r="A71" s="98" t="s">
        <v>69</v>
      </c>
      <c r="B71" s="101">
        <v>10</v>
      </c>
      <c r="C71" s="25">
        <v>-4.66</v>
      </c>
      <c r="D71" s="25">
        <f t="shared" si="4"/>
        <v>-4.6600000000000001E-3</v>
      </c>
      <c r="E71" s="25">
        <f>(D71^2/B71)/D_Calculation_electrode_area!$B$19</f>
        <v>1.7074458978104371E-4</v>
      </c>
      <c r="F71" s="26">
        <f t="shared" si="5"/>
        <v>-3.6640469910095216E-2</v>
      </c>
    </row>
    <row r="72" spans="1:6">
      <c r="A72" s="97" t="s">
        <v>70</v>
      </c>
      <c r="B72" s="100">
        <v>10000</v>
      </c>
      <c r="C72">
        <v>-636.70000000000005</v>
      </c>
      <c r="D72">
        <f t="shared" si="4"/>
        <v>-0.63670000000000004</v>
      </c>
      <c r="E72">
        <f>(D72^2/B72)/D_Calculation_electrode_area!$B$19</f>
        <v>3.1874605461356402E-3</v>
      </c>
      <c r="F72" s="24">
        <f t="shared" si="5"/>
        <v>-5.0062204274158003E-3</v>
      </c>
    </row>
    <row r="73" spans="1:6">
      <c r="A73" s="97" t="s">
        <v>70</v>
      </c>
      <c r="B73" s="100">
        <v>6800</v>
      </c>
      <c r="C73">
        <v>-620.5</v>
      </c>
      <c r="D73">
        <f t="shared" si="4"/>
        <v>-0.62050000000000005</v>
      </c>
      <c r="E73">
        <f>(D73^2/B73)/D_Calculation_electrode_area!$B$19</f>
        <v>4.4519448639555479E-3</v>
      </c>
      <c r="F73" s="24">
        <f t="shared" si="5"/>
        <v>-7.1747701272450405E-3</v>
      </c>
    </row>
    <row r="74" spans="1:6">
      <c r="A74" s="97" t="s">
        <v>70</v>
      </c>
      <c r="B74" s="100">
        <v>4700</v>
      </c>
      <c r="C74">
        <v>-600.4</v>
      </c>
      <c r="D74">
        <f t="shared" si="4"/>
        <v>-0.60040000000000004</v>
      </c>
      <c r="E74">
        <f>(D74^2/B74)/D_Calculation_electrode_area!$B$19</f>
        <v>6.0305736716584389E-3</v>
      </c>
      <c r="F74" s="24">
        <f t="shared" si="5"/>
        <v>-1.0044259946133309E-2</v>
      </c>
    </row>
    <row r="75" spans="1:6">
      <c r="A75" s="97" t="s">
        <v>70</v>
      </c>
      <c r="B75" s="100">
        <v>1000</v>
      </c>
      <c r="C75">
        <v>-460.1</v>
      </c>
      <c r="D75">
        <f t="shared" si="4"/>
        <v>-0.46010000000000001</v>
      </c>
      <c r="E75">
        <f>(D75^2/B75)/D_Calculation_electrode_area!$B$19</f>
        <v>1.6644838460542009E-2</v>
      </c>
      <c r="F75" s="24">
        <f t="shared" si="5"/>
        <v>-3.6176566964881564E-2</v>
      </c>
    </row>
    <row r="76" spans="1:6">
      <c r="A76" s="97" t="s">
        <v>70</v>
      </c>
      <c r="B76" s="100">
        <v>560</v>
      </c>
      <c r="C76">
        <v>-363.6</v>
      </c>
      <c r="D76">
        <f t="shared" si="4"/>
        <v>-0.36360000000000003</v>
      </c>
      <c r="E76">
        <f>(D76^2/B76)/D_Calculation_electrode_area!$B$19</f>
        <v>1.8562430483006376E-2</v>
      </c>
      <c r="F76" s="24">
        <f t="shared" si="5"/>
        <v>-5.1051789007168245E-2</v>
      </c>
    </row>
    <row r="77" spans="1:6">
      <c r="A77" s="97" t="s">
        <v>70</v>
      </c>
      <c r="B77" s="100">
        <v>100</v>
      </c>
      <c r="C77">
        <v>-92.6</v>
      </c>
      <c r="D77">
        <f t="shared" si="4"/>
        <v>-9.2600000000000002E-2</v>
      </c>
      <c r="E77">
        <f>(D77^2/B77)/D_Calculation_electrode_area!$B$19</f>
        <v>6.7421295228817192E-3</v>
      </c>
      <c r="F77" s="24">
        <f t="shared" si="5"/>
        <v>-7.2809174113193514E-2</v>
      </c>
    </row>
    <row r="78" spans="1:6">
      <c r="A78" s="97" t="s">
        <v>70</v>
      </c>
      <c r="B78" s="100">
        <v>10</v>
      </c>
      <c r="C78">
        <v>-9.32</v>
      </c>
      <c r="D78">
        <f t="shared" si="4"/>
        <v>-9.3200000000000002E-3</v>
      </c>
      <c r="E78">
        <f>(D78^2/B78)/D_Calculation_electrode_area!$B$19</f>
        <v>6.8297835912417483E-4</v>
      </c>
      <c r="F78" s="24">
        <f t="shared" si="5"/>
        <v>-7.3280939820190433E-2</v>
      </c>
    </row>
    <row r="79" spans="1:6">
      <c r="A79" s="96" t="s">
        <v>71</v>
      </c>
      <c r="B79" s="99">
        <v>10000</v>
      </c>
      <c r="C79" s="32">
        <v>-552.4</v>
      </c>
      <c r="D79" s="32">
        <f t="shared" si="4"/>
        <v>-0.5524</v>
      </c>
      <c r="E79" s="32">
        <f>(D79^2/B79)/D_Calculation_electrode_area!$B$19</f>
        <v>2.3992884200586132E-3</v>
      </c>
      <c r="F79" s="13">
        <f t="shared" si="5"/>
        <v>-4.3433896090851075E-3</v>
      </c>
    </row>
    <row r="80" spans="1:6">
      <c r="A80" s="97" t="s">
        <v>71</v>
      </c>
      <c r="B80" s="100">
        <v>6800</v>
      </c>
      <c r="C80">
        <v>-542.5</v>
      </c>
      <c r="D80">
        <f t="shared" si="4"/>
        <v>-0.54249999999999998</v>
      </c>
      <c r="E80">
        <f>(D80^2/B80)/D_Calculation_electrode_area!$B$19</f>
        <v>3.4030293162957467E-3</v>
      </c>
      <c r="F80" s="24">
        <f t="shared" si="5"/>
        <v>-6.2728650991626667E-3</v>
      </c>
    </row>
    <row r="81" spans="1:6">
      <c r="A81" s="97" t="s">
        <v>71</v>
      </c>
      <c r="B81" s="100">
        <v>4700</v>
      </c>
      <c r="C81">
        <v>-523.29999999999995</v>
      </c>
      <c r="D81">
        <f t="shared" si="4"/>
        <v>-0.52329999999999999</v>
      </c>
      <c r="E81">
        <f>(D81^2/B81)/D_Calculation_electrode_area!$B$19</f>
        <v>4.5811944896075769E-3</v>
      </c>
      <c r="F81" s="24">
        <f t="shared" si="5"/>
        <v>-8.7544324280672218E-3</v>
      </c>
    </row>
    <row r="82" spans="1:6">
      <c r="A82" s="97" t="s">
        <v>71</v>
      </c>
      <c r="B82" s="100">
        <v>1000</v>
      </c>
      <c r="C82">
        <v>-349</v>
      </c>
      <c r="D82">
        <f t="shared" si="4"/>
        <v>-0.34900000000000003</v>
      </c>
      <c r="F82" s="24">
        <f t="shared" si="5"/>
        <v>0</v>
      </c>
    </row>
    <row r="83" spans="1:6">
      <c r="A83" s="97" t="s">
        <v>71</v>
      </c>
      <c r="B83" s="100">
        <v>560</v>
      </c>
      <c r="C83">
        <v>-234.1</v>
      </c>
      <c r="D83">
        <f t="shared" si="4"/>
        <v>-0.2341</v>
      </c>
      <c r="E83">
        <f>(D83^2/B83)/D_Calculation_electrode_area!$B$19</f>
        <v>7.6946685729370997E-3</v>
      </c>
      <c r="F83" s="24">
        <f t="shared" si="5"/>
        <v>-3.2869152383328062E-2</v>
      </c>
    </row>
    <row r="84" spans="1:6">
      <c r="A84" s="97" t="s">
        <v>71</v>
      </c>
      <c r="B84" s="100">
        <v>100</v>
      </c>
      <c r="C84">
        <v>-50.48</v>
      </c>
      <c r="D84">
        <f t="shared" si="4"/>
        <v>-5.0479999999999997E-2</v>
      </c>
      <c r="E84">
        <f>(D84^2/B84)/D_Calculation_electrode_area!$B$19</f>
        <v>2.0036128604118001E-3</v>
      </c>
      <c r="F84" s="24">
        <f t="shared" si="5"/>
        <v>-3.9691221482008723E-2</v>
      </c>
    </row>
    <row r="85" spans="1:6">
      <c r="A85" s="98" t="s">
        <v>71</v>
      </c>
      <c r="B85" s="101">
        <v>10</v>
      </c>
      <c r="C85" s="25">
        <v>-5.44</v>
      </c>
      <c r="D85" s="25">
        <f t="shared" si="4"/>
        <v>-5.4400000000000004E-3</v>
      </c>
      <c r="E85" s="25">
        <f>(D85^2/B85)/D_Calculation_electrode_area!$B$19</f>
        <v>2.3268742710974121E-4</v>
      </c>
      <c r="F85" s="26">
        <f t="shared" si="5"/>
        <v>-4.277342410105537E-2</v>
      </c>
    </row>
    <row r="86" spans="1:6">
      <c r="A86" s="97" t="s">
        <v>72</v>
      </c>
      <c r="B86" s="100">
        <v>10000</v>
      </c>
      <c r="C86">
        <v>-477.1</v>
      </c>
      <c r="D86">
        <f t="shared" si="4"/>
        <v>-0.47710000000000002</v>
      </c>
      <c r="E86">
        <f>(D86^2/B86)/D_Calculation_electrode_area!$B$19</f>
        <v>1.7897565118901672E-3</v>
      </c>
      <c r="F86" s="24">
        <f t="shared" si="5"/>
        <v>-3.7513236468039554E-3</v>
      </c>
    </row>
    <row r="87" spans="1:6">
      <c r="A87" s="97" t="s">
        <v>72</v>
      </c>
      <c r="B87" s="100">
        <v>6800</v>
      </c>
      <c r="C87">
        <v>-431.4</v>
      </c>
      <c r="D87">
        <f t="shared" si="4"/>
        <v>-0.43140000000000001</v>
      </c>
      <c r="E87">
        <f>(D87^2/B87)/D_Calculation_electrode_area!$B$19</f>
        <v>2.1519218087191951E-3</v>
      </c>
      <c r="F87" s="24">
        <f t="shared" si="5"/>
        <v>-4.9882285783940548E-3</v>
      </c>
    </row>
    <row r="88" spans="1:6">
      <c r="A88" s="97" t="s">
        <v>72</v>
      </c>
      <c r="B88" s="100">
        <v>4700</v>
      </c>
      <c r="C88">
        <v>-380.9</v>
      </c>
      <c r="D88">
        <f t="shared" si="4"/>
        <v>-0.38089999999999996</v>
      </c>
      <c r="E88">
        <f>(D88^2/B88)/D_Calculation_electrode_area!$B$19</f>
        <v>2.4271644668143917E-3</v>
      </c>
      <c r="F88" s="24">
        <f t="shared" si="5"/>
        <v>-6.3721829005366024E-3</v>
      </c>
    </row>
    <row r="89" spans="1:6">
      <c r="A89" s="97" t="s">
        <v>72</v>
      </c>
      <c r="B89" s="100">
        <v>1000</v>
      </c>
      <c r="C89">
        <v>-163.5</v>
      </c>
      <c r="D89">
        <f t="shared" si="4"/>
        <v>-0.16350000000000001</v>
      </c>
      <c r="E89">
        <f>(D89^2/B89)/D_Calculation_electrode_area!$B$19</f>
        <v>2.1018931368114654E-3</v>
      </c>
      <c r="F89" s="24">
        <f t="shared" si="5"/>
        <v>-1.2855615515666455E-2</v>
      </c>
    </row>
    <row r="90" spans="1:6">
      <c r="A90" s="97" t="s">
        <v>72</v>
      </c>
      <c r="B90" s="100">
        <v>560</v>
      </c>
      <c r="C90">
        <v>-101</v>
      </c>
      <c r="D90">
        <f t="shared" si="4"/>
        <v>-0.10100000000000001</v>
      </c>
      <c r="E90">
        <f>(D90^2/B90)/D_Calculation_electrode_area!$B$19</f>
        <v>1.432286302701109E-3</v>
      </c>
      <c r="F90" s="24">
        <f t="shared" si="5"/>
        <v>-1.4181052501991177E-2</v>
      </c>
    </row>
    <row r="91" spans="1:6">
      <c r="A91" s="97" t="s">
        <v>72</v>
      </c>
      <c r="B91" s="100">
        <v>100</v>
      </c>
      <c r="C91">
        <v>-21.04</v>
      </c>
      <c r="D91">
        <f t="shared" si="4"/>
        <v>-2.104E-2</v>
      </c>
      <c r="E91">
        <f>(D91^2/B91)/D_Calculation_electrode_area!$B$19</f>
        <v>3.4806999666422338E-4</v>
      </c>
      <c r="F91" s="24">
        <f t="shared" si="5"/>
        <v>-1.6543250792025826E-2</v>
      </c>
    </row>
    <row r="92" spans="1:6">
      <c r="A92" s="97" t="s">
        <v>72</v>
      </c>
      <c r="B92" s="100">
        <v>10</v>
      </c>
      <c r="C92">
        <v>-2.2000000000000002</v>
      </c>
      <c r="D92">
        <f t="shared" si="4"/>
        <v>-2.2000000000000001E-3</v>
      </c>
      <c r="E92">
        <f>(D92^2/B92)/D_Calculation_electrode_area!$B$19</f>
        <v>3.8055767031086027E-5</v>
      </c>
      <c r="F92" s="24">
        <f t="shared" si="5"/>
        <v>-1.7298075923220919E-2</v>
      </c>
    </row>
    <row r="93" spans="1:6">
      <c r="A93" s="96" t="s">
        <v>73</v>
      </c>
      <c r="B93" s="99">
        <v>10000</v>
      </c>
      <c r="C93" s="32">
        <v>-320.39999999999998</v>
      </c>
      <c r="D93" s="32">
        <f t="shared" si="4"/>
        <v>-0.32039999999999996</v>
      </c>
      <c r="E93" s="32">
        <f>(D93^2/B93)/D_Calculation_electrode_area!$B$19</f>
        <v>8.0716093166650633E-4</v>
      </c>
      <c r="F93" s="13">
        <f t="shared" si="5"/>
        <v>-2.519228875363628E-3</v>
      </c>
    </row>
    <row r="94" spans="1:6">
      <c r="A94" s="97" t="s">
        <v>73</v>
      </c>
      <c r="B94" s="100">
        <v>6800</v>
      </c>
      <c r="C94">
        <v>-282.5</v>
      </c>
      <c r="D94">
        <f t="shared" si="4"/>
        <v>-0.28250000000000003</v>
      </c>
      <c r="E94">
        <f>(D94^2/B94)/D_Calculation_electrode_area!$B$19</f>
        <v>9.227904890692179E-4</v>
      </c>
      <c r="F94" s="24">
        <f t="shared" si="5"/>
        <v>-3.2665150055547535E-3</v>
      </c>
    </row>
    <row r="95" spans="1:6">
      <c r="A95" s="97" t="s">
        <v>73</v>
      </c>
      <c r="B95" s="100">
        <v>4700</v>
      </c>
      <c r="C95">
        <v>-233.5</v>
      </c>
      <c r="D95">
        <f t="shared" si="4"/>
        <v>-0.23350000000000001</v>
      </c>
      <c r="E95">
        <f>(D95^2/B95)/D_Calculation_electrode_area!$B$19</f>
        <v>9.1211800774161687E-4</v>
      </c>
      <c r="F95" s="24">
        <f t="shared" si="5"/>
        <v>-3.9062869710561748E-3</v>
      </c>
    </row>
    <row r="96" spans="1:6">
      <c r="A96" s="97" t="s">
        <v>73</v>
      </c>
      <c r="B96" s="100">
        <v>1000</v>
      </c>
      <c r="C96">
        <v>-107.5</v>
      </c>
      <c r="D96">
        <f t="shared" si="4"/>
        <v>-0.1075</v>
      </c>
      <c r="E96">
        <f>(D96^2/B96)/D_Calculation_electrode_area!$B$19</f>
        <v>9.0864040858055323E-4</v>
      </c>
      <c r="F96" s="24">
        <f t="shared" si="5"/>
        <v>-8.4524689170284023E-3</v>
      </c>
    </row>
    <row r="97" spans="1:6">
      <c r="A97" s="97" t="s">
        <v>73</v>
      </c>
      <c r="B97" s="100">
        <v>560</v>
      </c>
      <c r="C97">
        <v>-70.599999999999994</v>
      </c>
      <c r="D97">
        <f t="shared" si="4"/>
        <v>-7.0599999999999996E-2</v>
      </c>
      <c r="E97">
        <f>(D97^2/B97)/D_Calculation_electrode_area!$B$19</f>
        <v>6.9983634503786852E-4</v>
      </c>
      <c r="F97" s="24">
        <f t="shared" si="5"/>
        <v>-9.9126961053522464E-3</v>
      </c>
    </row>
    <row r="98" spans="1:6">
      <c r="A98" s="97" t="s">
        <v>73</v>
      </c>
      <c r="B98" s="100">
        <v>100</v>
      </c>
      <c r="C98">
        <v>-15.63</v>
      </c>
      <c r="D98">
        <f t="shared" si="4"/>
        <v>-1.5630000000000002E-2</v>
      </c>
      <c r="E98">
        <f>(D98^2/B98)/D_Calculation_electrode_area!$B$19</f>
        <v>1.9208483290943223E-4</v>
      </c>
      <c r="F98" s="24">
        <f t="shared" si="5"/>
        <v>-1.2289496667270135E-2</v>
      </c>
    </row>
    <row r="99" spans="1:6">
      <c r="A99" s="98" t="s">
        <v>73</v>
      </c>
      <c r="B99" s="101">
        <v>10</v>
      </c>
      <c r="C99" s="25">
        <v>-1.64</v>
      </c>
      <c r="D99" s="25">
        <f t="shared" si="4"/>
        <v>-1.64E-3</v>
      </c>
      <c r="E99" s="25">
        <f>(D99^2/B99)/D_Calculation_electrode_area!$B$19</f>
        <v>2.1147684092315902E-5</v>
      </c>
      <c r="F99" s="26">
        <f t="shared" si="5"/>
        <v>-1.2894929324582867E-2</v>
      </c>
    </row>
    <row r="100" spans="1:6">
      <c r="A100" s="97" t="s">
        <v>87</v>
      </c>
      <c r="B100" s="100">
        <v>10000</v>
      </c>
      <c r="C100">
        <v>-331.5</v>
      </c>
      <c r="D100">
        <f t="shared" si="4"/>
        <v>-0.33150000000000002</v>
      </c>
      <c r="E100">
        <f>(D100^2/B100)/D_Calculation_electrode_area!$B$19</f>
        <v>8.6405658357889743E-4</v>
      </c>
      <c r="F100" s="24">
        <f t="shared" si="5"/>
        <v>-2.6065055311580614E-3</v>
      </c>
    </row>
    <row r="101" spans="1:6">
      <c r="A101" s="97" t="s">
        <v>87</v>
      </c>
      <c r="B101" s="100">
        <v>6800</v>
      </c>
      <c r="C101">
        <v>-211.1</v>
      </c>
      <c r="D101">
        <f t="shared" si="4"/>
        <v>-0.21110000000000001</v>
      </c>
      <c r="E101">
        <f>(D101^2/B101)/D_Calculation_electrode_area!$B$19</f>
        <v>5.1527927136526587E-4</v>
      </c>
      <c r="F101" s="24">
        <f t="shared" si="5"/>
        <v>-2.4409250183101178E-3</v>
      </c>
    </row>
    <row r="102" spans="1:6">
      <c r="A102" s="97" t="s">
        <v>87</v>
      </c>
      <c r="B102" s="100">
        <v>4700</v>
      </c>
      <c r="C102">
        <v>-150.4</v>
      </c>
      <c r="D102">
        <f t="shared" si="4"/>
        <v>-0.15040000000000001</v>
      </c>
      <c r="E102">
        <f>(D102^2/B102)/D_Calculation_electrode_area!$B$19</f>
        <v>3.7841899910580747E-4</v>
      </c>
      <c r="F102" s="24">
        <f t="shared" si="5"/>
        <v>-2.5160837706503154E-3</v>
      </c>
    </row>
    <row r="103" spans="1:6">
      <c r="A103" s="97" t="s">
        <v>87</v>
      </c>
      <c r="B103" s="100">
        <v>1000</v>
      </c>
      <c r="C103">
        <v>-28.97</v>
      </c>
      <c r="D103">
        <f t="shared" si="4"/>
        <v>-2.8969999999999999E-2</v>
      </c>
      <c r="E103">
        <f>(D103^2/B103)/D_Calculation_electrode_area!$B$19</f>
        <v>6.5989085307230539E-5</v>
      </c>
      <c r="F103" s="24">
        <f t="shared" si="5"/>
        <v>-2.2778420886168638E-3</v>
      </c>
    </row>
    <row r="104" spans="1:6">
      <c r="A104" s="97" t="s">
        <v>87</v>
      </c>
      <c r="B104" s="100">
        <v>560</v>
      </c>
      <c r="C104">
        <v>-17.62</v>
      </c>
      <c r="D104">
        <f t="shared" si="4"/>
        <v>-1.762E-2</v>
      </c>
      <c r="E104">
        <f>(D104^2/B104)/D_Calculation_electrode_area!$B$19</f>
        <v>4.3591207489100889E-5</v>
      </c>
      <c r="F104" s="24">
        <f t="shared" si="5"/>
        <v>-2.4739618325255895E-3</v>
      </c>
    </row>
    <row r="105" spans="1:6">
      <c r="A105" s="97" t="s">
        <v>87</v>
      </c>
      <c r="B105" s="100">
        <v>100</v>
      </c>
      <c r="C105">
        <v>-3.78</v>
      </c>
      <c r="D105">
        <f t="shared" si="4"/>
        <v>-3.7799999999999999E-3</v>
      </c>
      <c r="E105">
        <f>(D105^2/B105)/D_Calculation_electrode_area!$B$19</f>
        <v>1.123462854642499E-5</v>
      </c>
      <c r="F105" s="24">
        <f t="shared" si="5"/>
        <v>-2.9721239540806852E-3</v>
      </c>
    </row>
    <row r="106" spans="1:6">
      <c r="A106" s="98" t="s">
        <v>87</v>
      </c>
      <c r="B106" s="101">
        <v>10</v>
      </c>
      <c r="C106" s="25">
        <v>-0.41</v>
      </c>
      <c r="D106" s="25">
        <f t="shared" si="4"/>
        <v>-4.0999999999999999E-4</v>
      </c>
      <c r="E106" s="25">
        <f>(D106^2/B106)/D_Calculation_electrode_area!$B$19</f>
        <v>1.3217302557697439E-6</v>
      </c>
      <c r="F106" s="26">
        <f t="shared" si="5"/>
        <v>-3.2237323311457167E-3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7498-7EF3-1E46-A5F3-D226F7667C3A}">
  <dimension ref="A4:I27"/>
  <sheetViews>
    <sheetView workbookViewId="0">
      <selection activeCell="E17" sqref="E17"/>
    </sheetView>
  </sheetViews>
  <sheetFormatPr defaultColWidth="10.85546875" defaultRowHeight="15"/>
  <cols>
    <col min="1" max="1" width="27.5703125" style="10" bestFit="1" customWidth="1"/>
    <col min="2" max="2" width="10.85546875" style="10"/>
    <col min="3" max="3" width="14.42578125" style="10" customWidth="1"/>
    <col min="4" max="4" width="19.140625" style="10" customWidth="1"/>
    <col min="5" max="5" width="10.85546875" style="10"/>
    <col min="6" max="6" width="16" style="10" customWidth="1"/>
    <col min="7" max="7" width="27.5703125" style="10" bestFit="1" customWidth="1"/>
    <col min="8" max="8" width="10.85546875" style="10"/>
    <col min="9" max="9" width="15" style="10" bestFit="1" customWidth="1"/>
    <col min="10" max="16384" width="10.85546875" style="10"/>
  </cols>
  <sheetData>
    <row r="4" spans="1:9">
      <c r="A4" s="199" t="s">
        <v>88</v>
      </c>
      <c r="B4" s="200"/>
      <c r="C4" s="201"/>
      <c r="G4" s="199" t="s">
        <v>89</v>
      </c>
      <c r="H4" s="200"/>
      <c r="I4" s="201"/>
    </row>
    <row r="5" spans="1:9">
      <c r="A5" s="102" t="s">
        <v>90</v>
      </c>
      <c r="B5" s="10">
        <v>0.5</v>
      </c>
      <c r="C5" s="27" t="s">
        <v>91</v>
      </c>
      <c r="G5" s="102" t="s">
        <v>90</v>
      </c>
      <c r="H5" s="10">
        <v>0.5</v>
      </c>
      <c r="I5" s="27" t="s">
        <v>91</v>
      </c>
    </row>
    <row r="6" spans="1:9">
      <c r="A6" s="103" t="s">
        <v>92</v>
      </c>
      <c r="B6" s="10">
        <f>B5/2</f>
        <v>0.25</v>
      </c>
      <c r="C6" s="27" t="s">
        <v>91</v>
      </c>
      <c r="G6" s="103" t="s">
        <v>92</v>
      </c>
      <c r="H6" s="10">
        <f>H5/2</f>
        <v>0.25</v>
      </c>
      <c r="I6" s="27" t="s">
        <v>91</v>
      </c>
    </row>
    <row r="7" spans="1:9">
      <c r="A7" s="103" t="s">
        <v>93</v>
      </c>
      <c r="B7" s="10">
        <v>150</v>
      </c>
      <c r="C7" s="27" t="s">
        <v>91</v>
      </c>
      <c r="G7" s="103" t="s">
        <v>93</v>
      </c>
      <c r="H7" s="10">
        <v>80</v>
      </c>
      <c r="I7" s="27" t="s">
        <v>91</v>
      </c>
    </row>
    <row r="8" spans="1:9">
      <c r="A8" s="103" t="s">
        <v>94</v>
      </c>
      <c r="B8" s="10">
        <v>150</v>
      </c>
      <c r="C8" s="27" t="s">
        <v>91</v>
      </c>
      <c r="G8" s="103" t="s">
        <v>94</v>
      </c>
      <c r="H8" s="10">
        <v>80</v>
      </c>
      <c r="I8" s="27" t="s">
        <v>91</v>
      </c>
    </row>
    <row r="9" spans="1:9">
      <c r="A9" s="103" t="s">
        <v>95</v>
      </c>
      <c r="B9" s="10">
        <v>0.1</v>
      </c>
      <c r="C9" s="27" t="s">
        <v>96</v>
      </c>
      <c r="G9" s="103" t="s">
        <v>95</v>
      </c>
      <c r="H9" s="10">
        <v>0.1</v>
      </c>
      <c r="I9" s="27" t="s">
        <v>96</v>
      </c>
    </row>
    <row r="10" spans="1:9">
      <c r="A10" s="103" t="s">
        <v>97</v>
      </c>
      <c r="B10" s="10">
        <v>1</v>
      </c>
      <c r="C10" s="27" t="s">
        <v>98</v>
      </c>
      <c r="G10" s="103" t="s">
        <v>97</v>
      </c>
      <c r="H10" s="10">
        <v>1</v>
      </c>
      <c r="I10" s="27" t="s">
        <v>98</v>
      </c>
    </row>
    <row r="11" spans="1:9">
      <c r="A11" s="103" t="s">
        <v>99</v>
      </c>
      <c r="B11" s="10">
        <f>15*15*2</f>
        <v>450</v>
      </c>
      <c r="C11" s="27" t="s">
        <v>100</v>
      </c>
      <c r="G11" s="103" t="s">
        <v>99</v>
      </c>
      <c r="H11" s="10">
        <f>8*8*2</f>
        <v>128</v>
      </c>
      <c r="I11" s="27" t="s">
        <v>100</v>
      </c>
    </row>
    <row r="12" spans="1:9">
      <c r="A12" s="103" t="s">
        <v>101</v>
      </c>
      <c r="B12" s="10">
        <f>B9*B8*B8+B9*B7*B7-B10*B11</f>
        <v>4050</v>
      </c>
      <c r="C12" s="27" t="s">
        <v>91</v>
      </c>
      <c r="G12" s="103" t="s">
        <v>101</v>
      </c>
      <c r="H12" s="10">
        <f>H9*H8*H8+H9*H7*H7-H10*H11</f>
        <v>1152</v>
      </c>
      <c r="I12" s="27" t="s">
        <v>91</v>
      </c>
    </row>
    <row r="13" spans="1:9">
      <c r="A13" s="104" t="s">
        <v>102</v>
      </c>
      <c r="B13" s="28">
        <v>3.14</v>
      </c>
      <c r="C13" s="29"/>
      <c r="G13" s="104" t="s">
        <v>102</v>
      </c>
      <c r="H13" s="28">
        <v>3.14</v>
      </c>
      <c r="I13" s="29"/>
    </row>
    <row r="15" spans="1:9">
      <c r="G15" s="102" t="s">
        <v>103</v>
      </c>
      <c r="H15" s="30">
        <f>1200</f>
        <v>1200</v>
      </c>
      <c r="I15" s="31" t="s">
        <v>104</v>
      </c>
    </row>
    <row r="16" spans="1:9">
      <c r="A16" s="102" t="s">
        <v>105</v>
      </c>
      <c r="B16" s="30">
        <f>2*B13*B6*(B6+B12)+1*B13*B6^2</f>
        <v>6359.0887499999999</v>
      </c>
      <c r="C16" s="31" t="s">
        <v>106</v>
      </c>
      <c r="G16" s="103" t="s">
        <v>107</v>
      </c>
      <c r="H16" s="10">
        <v>15</v>
      </c>
      <c r="I16" s="27" t="s">
        <v>108</v>
      </c>
    </row>
    <row r="17" spans="1:9">
      <c r="A17" s="103" t="s">
        <v>105</v>
      </c>
      <c r="B17" s="10">
        <f>B16*10^-6</f>
        <v>6.3590887499999993E-3</v>
      </c>
      <c r="C17" s="27" t="s">
        <v>109</v>
      </c>
      <c r="G17" s="103" t="s">
        <v>110</v>
      </c>
      <c r="H17" s="10">
        <f>H15*H16</f>
        <v>18000</v>
      </c>
      <c r="I17" s="27" t="s">
        <v>111</v>
      </c>
    </row>
    <row r="18" spans="1:9">
      <c r="A18" s="103" t="s">
        <v>112</v>
      </c>
      <c r="B18" s="10">
        <f>B16*2</f>
        <v>12718.1775</v>
      </c>
      <c r="C18" s="27" t="s">
        <v>106</v>
      </c>
      <c r="G18" s="103"/>
      <c r="I18" s="27"/>
    </row>
    <row r="19" spans="1:9">
      <c r="A19" s="104" t="s">
        <v>112</v>
      </c>
      <c r="B19" s="28">
        <f>B18*10^-6</f>
        <v>1.2718177499999999E-2</v>
      </c>
      <c r="C19" s="29" t="s">
        <v>109</v>
      </c>
      <c r="G19" s="103" t="s">
        <v>113</v>
      </c>
      <c r="H19" s="10">
        <f>2*H13*H6*(H6+H12)+1*H13*H6^2</f>
        <v>1809.22875</v>
      </c>
      <c r="I19" s="27" t="s">
        <v>106</v>
      </c>
    </row>
    <row r="20" spans="1:9">
      <c r="G20" s="103" t="s">
        <v>105</v>
      </c>
      <c r="H20" s="10">
        <f>H19*10^-6+H17</f>
        <v>18000.00180922875</v>
      </c>
      <c r="I20" s="27" t="s">
        <v>109</v>
      </c>
    </row>
    <row r="21" spans="1:9">
      <c r="G21" s="103" t="s">
        <v>114</v>
      </c>
      <c r="H21" s="10">
        <f>H19*2*10^-6</f>
        <v>3.6184575E-3</v>
      </c>
      <c r="I21" s="27" t="s">
        <v>109</v>
      </c>
    </row>
    <row r="22" spans="1:9">
      <c r="G22" s="104" t="s">
        <v>112</v>
      </c>
      <c r="H22" s="28">
        <f>H21+H17</f>
        <v>18000.0036184575</v>
      </c>
      <c r="I22" s="29" t="s">
        <v>109</v>
      </c>
    </row>
    <row r="23" spans="1:9">
      <c r="A23" s="202" t="s">
        <v>115</v>
      </c>
      <c r="B23" s="203"/>
      <c r="C23" s="203"/>
      <c r="D23" s="204"/>
    </row>
    <row r="24" spans="1:9">
      <c r="A24" s="105"/>
      <c r="B24" s="106"/>
      <c r="C24" s="106"/>
      <c r="D24" s="107"/>
    </row>
    <row r="25" spans="1:9">
      <c r="A25" s="105"/>
      <c r="B25" s="106"/>
      <c r="C25" s="106"/>
      <c r="D25" s="107"/>
    </row>
    <row r="26" spans="1:9">
      <c r="A26" s="105"/>
      <c r="B26" s="106"/>
      <c r="C26" s="106"/>
      <c r="D26" s="107"/>
    </row>
    <row r="27" spans="1:9">
      <c r="A27" s="108"/>
      <c r="B27" s="109"/>
      <c r="C27" s="109"/>
      <c r="D27" s="110"/>
      <c r="E27" s="11"/>
    </row>
  </sheetData>
  <mergeCells count="3">
    <mergeCell ref="G4:I4"/>
    <mergeCell ref="A4:C4"/>
    <mergeCell ref="A23:D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DC20-47A5-45FA-BC8A-F3A8D3E0DF38}">
  <dimension ref="A1:I356"/>
  <sheetViews>
    <sheetView workbookViewId="0">
      <selection activeCell="X26" sqref="X26"/>
    </sheetView>
  </sheetViews>
  <sheetFormatPr defaultRowHeight="15"/>
  <cols>
    <col min="1" max="1" width="9.140625" style="185"/>
    <col min="2" max="2" width="10.140625" bestFit="1" customWidth="1"/>
    <col min="3" max="3" width="12.5703125" bestFit="1" customWidth="1"/>
    <col min="6" max="6" width="9.140625" style="185"/>
  </cols>
  <sheetData>
    <row r="1" spans="1:9">
      <c r="A1" s="191" t="s">
        <v>0</v>
      </c>
      <c r="B1" s="192" t="s">
        <v>19</v>
      </c>
      <c r="C1" s="192" t="s">
        <v>20</v>
      </c>
      <c r="D1" s="193" t="s">
        <v>2</v>
      </c>
      <c r="E1" s="76"/>
      <c r="F1" s="191" t="s">
        <v>0</v>
      </c>
      <c r="G1" s="192" t="s">
        <v>19</v>
      </c>
      <c r="H1" s="192" t="s">
        <v>20</v>
      </c>
      <c r="I1" s="193" t="s">
        <v>2</v>
      </c>
    </row>
    <row r="2" spans="1:9">
      <c r="A2" s="187" t="s">
        <v>23</v>
      </c>
      <c r="B2" s="188">
        <v>6.4900000000000001E-3</v>
      </c>
      <c r="C2" s="188">
        <v>5.1054999999999997E-6</v>
      </c>
      <c r="D2" s="205">
        <v>0</v>
      </c>
      <c r="E2" s="76"/>
      <c r="F2" s="195" t="s">
        <v>36</v>
      </c>
      <c r="G2" s="181">
        <v>6.77E-3</v>
      </c>
      <c r="H2" s="181">
        <v>6.3965499999999998E-6</v>
      </c>
      <c r="I2" s="205">
        <v>0</v>
      </c>
    </row>
    <row r="3" spans="1:9">
      <c r="A3" s="186" t="s">
        <v>27</v>
      </c>
      <c r="B3" s="183">
        <v>6.8500000000000002E-3</v>
      </c>
      <c r="C3" s="183">
        <v>8.0397000000000003E-6</v>
      </c>
      <c r="D3" s="206"/>
      <c r="E3" s="76"/>
      <c r="F3" s="184" t="s">
        <v>37</v>
      </c>
      <c r="G3" s="179">
        <v>7.0600000000000003E-3</v>
      </c>
      <c r="H3" s="179">
        <v>1.10619E-5</v>
      </c>
      <c r="I3" s="206"/>
    </row>
    <row r="4" spans="1:9">
      <c r="A4" s="186" t="s">
        <v>30</v>
      </c>
      <c r="B4" s="183">
        <v>5.7000000000000002E-3</v>
      </c>
      <c r="C4" s="183">
        <v>8.3331199999999996E-6</v>
      </c>
      <c r="D4" s="206"/>
      <c r="E4" s="76"/>
      <c r="F4" s="184" t="s">
        <v>38</v>
      </c>
      <c r="G4" s="179">
        <v>6.3899999999999998E-3</v>
      </c>
      <c r="H4" s="179">
        <v>3.4330099999999998E-5</v>
      </c>
      <c r="I4" s="206"/>
    </row>
    <row r="5" spans="1:9">
      <c r="A5" s="186" t="s">
        <v>32</v>
      </c>
      <c r="B5" s="183">
        <v>6.5500000000000003E-3</v>
      </c>
      <c r="C5" s="183">
        <v>1.0093599999999999E-5</v>
      </c>
      <c r="D5" s="206"/>
      <c r="E5" s="76"/>
      <c r="F5" s="184" t="s">
        <v>42</v>
      </c>
      <c r="G5" s="179">
        <v>7.4400000000000004E-3</v>
      </c>
      <c r="H5" s="179">
        <v>8.28324E-7</v>
      </c>
      <c r="I5" s="206"/>
    </row>
    <row r="6" spans="1:9">
      <c r="A6" s="186" t="s">
        <v>34</v>
      </c>
      <c r="B6" s="183">
        <v>5.8799999999999998E-3</v>
      </c>
      <c r="C6" s="183">
        <v>1.27344E-5</v>
      </c>
      <c r="D6" s="206"/>
      <c r="E6" s="76"/>
      <c r="F6" s="184" t="s">
        <v>43</v>
      </c>
      <c r="G6" s="179">
        <v>7.3899999999999999E-3</v>
      </c>
      <c r="H6" s="179">
        <v>3.5893999999999999E-6</v>
      </c>
      <c r="I6" s="206"/>
    </row>
    <row r="7" spans="1:9">
      <c r="A7" s="186" t="s">
        <v>35</v>
      </c>
      <c r="B7" s="183">
        <v>6.5700000000000003E-3</v>
      </c>
      <c r="C7" s="183">
        <v>9.7708699999999995E-6</v>
      </c>
      <c r="D7" s="206"/>
      <c r="E7" s="76"/>
      <c r="F7" s="184" t="s">
        <v>44</v>
      </c>
      <c r="G7" s="179">
        <v>7.3899999999999999E-3</v>
      </c>
      <c r="H7" s="179">
        <v>3.8931199999999998E-6</v>
      </c>
      <c r="I7" s="206"/>
    </row>
    <row r="8" spans="1:9">
      <c r="A8" s="186" t="s">
        <v>39</v>
      </c>
      <c r="B8" s="183">
        <v>5.8999999999999999E-3</v>
      </c>
      <c r="C8" s="183">
        <v>1.40548E-5</v>
      </c>
      <c r="D8" s="206"/>
      <c r="E8" s="76"/>
      <c r="F8" s="184" t="s">
        <v>39</v>
      </c>
      <c r="G8" s="179">
        <v>5.8999999999999999E-3</v>
      </c>
      <c r="H8" s="179">
        <v>1.40548E-5</v>
      </c>
      <c r="I8" s="206"/>
    </row>
    <row r="9" spans="1:9">
      <c r="A9" s="186" t="s">
        <v>40</v>
      </c>
      <c r="B9" s="183">
        <v>6.5199999999999998E-3</v>
      </c>
      <c r="C9" s="183">
        <v>8.7145600000000001E-6</v>
      </c>
      <c r="D9" s="206"/>
      <c r="E9" s="76"/>
      <c r="F9" s="184" t="s">
        <v>40</v>
      </c>
      <c r="G9" s="179">
        <v>6.5199999999999998E-3</v>
      </c>
      <c r="H9" s="179">
        <v>8.7145600000000001E-6</v>
      </c>
      <c r="I9" s="206"/>
    </row>
    <row r="10" spans="1:9">
      <c r="A10" s="186" t="s">
        <v>41</v>
      </c>
      <c r="B10" s="183">
        <v>5.94E-3</v>
      </c>
      <c r="C10" s="183">
        <v>8.5385100000000003E-6</v>
      </c>
      <c r="D10" s="207"/>
      <c r="E10" s="76"/>
      <c r="F10" s="184" t="s">
        <v>41</v>
      </c>
      <c r="G10" s="179">
        <v>5.94E-3</v>
      </c>
      <c r="H10" s="179">
        <v>8.5385100000000003E-6</v>
      </c>
      <c r="I10" s="207"/>
    </row>
    <row r="11" spans="1:9">
      <c r="A11" s="187" t="s">
        <v>23</v>
      </c>
      <c r="B11" s="188">
        <v>4.9399999999999999E-3</v>
      </c>
      <c r="C11" s="188">
        <v>5.8097100000000003E-5</v>
      </c>
      <c r="D11" s="205">
        <v>9</v>
      </c>
      <c r="E11" s="76"/>
      <c r="F11" s="195" t="s">
        <v>36</v>
      </c>
      <c r="G11" s="181">
        <v>5.8799999999999998E-3</v>
      </c>
      <c r="H11" s="197">
        <v>2.2563999999999999E-4</v>
      </c>
      <c r="I11" s="205">
        <v>9</v>
      </c>
    </row>
    <row r="12" spans="1:9">
      <c r="A12" s="186" t="s">
        <v>27</v>
      </c>
      <c r="B12" s="183">
        <v>4.9899999999999996E-3</v>
      </c>
      <c r="C12" s="183">
        <v>9.6828499999999996E-5</v>
      </c>
      <c r="D12" s="206"/>
      <c r="E12" s="76"/>
      <c r="F12" s="184" t="s">
        <v>37</v>
      </c>
      <c r="G12" s="179">
        <v>5.9899999999999997E-3</v>
      </c>
      <c r="H12" s="76">
        <v>3.3449800000000002E-4</v>
      </c>
      <c r="I12" s="206"/>
    </row>
    <row r="13" spans="1:9">
      <c r="A13" s="186" t="s">
        <v>30</v>
      </c>
      <c r="B13" s="183">
        <v>3.5899999999999999E-3</v>
      </c>
      <c r="C13" s="180">
        <v>1.10326E-4</v>
      </c>
      <c r="D13" s="206"/>
      <c r="E13" s="76"/>
      <c r="F13" s="184" t="s">
        <v>38</v>
      </c>
      <c r="G13" s="179">
        <v>5.1999999999999998E-3</v>
      </c>
      <c r="H13" s="76">
        <v>3.6090599999999998E-4</v>
      </c>
      <c r="I13" s="206"/>
    </row>
    <row r="14" spans="1:9">
      <c r="A14" s="186" t="s">
        <v>32</v>
      </c>
      <c r="B14" s="183">
        <v>4.5100000000000001E-3</v>
      </c>
      <c r="C14" s="183">
        <v>9.91758E-5</v>
      </c>
      <c r="D14" s="206"/>
      <c r="E14" s="76"/>
      <c r="F14" s="184" t="s">
        <v>42</v>
      </c>
      <c r="G14" s="179">
        <v>3.7799999999999999E-3</v>
      </c>
      <c r="H14" s="76">
        <v>1.39987E-4</v>
      </c>
      <c r="I14" s="206"/>
    </row>
    <row r="15" spans="1:9">
      <c r="A15" s="186" t="s">
        <v>34</v>
      </c>
      <c r="B15" s="183">
        <v>4.0299999999999997E-3</v>
      </c>
      <c r="C15" s="180">
        <v>1.52578E-4</v>
      </c>
      <c r="D15" s="206"/>
      <c r="E15" s="76"/>
      <c r="F15" s="184" t="s">
        <v>43</v>
      </c>
      <c r="G15" s="179">
        <v>6.4000000000000003E-3</v>
      </c>
      <c r="H15" s="179">
        <v>6.6818100000000003E-5</v>
      </c>
      <c r="I15" s="206"/>
    </row>
    <row r="16" spans="1:9">
      <c r="A16" s="186" t="s">
        <v>35</v>
      </c>
      <c r="B16" s="183">
        <v>5.3800000000000002E-3</v>
      </c>
      <c r="C16" s="180">
        <v>1.07392E-4</v>
      </c>
      <c r="D16" s="206"/>
      <c r="E16" s="76"/>
      <c r="F16" s="184" t="s">
        <v>44</v>
      </c>
      <c r="G16" s="179">
        <v>6.45E-3</v>
      </c>
      <c r="H16" s="179">
        <v>5.4117099999999997E-5</v>
      </c>
      <c r="I16" s="206"/>
    </row>
    <row r="17" spans="1:9">
      <c r="A17" s="186" t="s">
        <v>39</v>
      </c>
      <c r="B17" s="183">
        <v>5.11E-3</v>
      </c>
      <c r="C17" s="180">
        <v>4.66537E-4</v>
      </c>
      <c r="D17" s="206"/>
      <c r="E17" s="76"/>
      <c r="F17" s="184" t="s">
        <v>39</v>
      </c>
      <c r="G17" s="179">
        <v>5.11E-3</v>
      </c>
      <c r="H17" s="76">
        <v>4.66537E-4</v>
      </c>
      <c r="I17" s="206"/>
    </row>
    <row r="18" spans="1:9">
      <c r="A18" s="186" t="s">
        <v>40</v>
      </c>
      <c r="B18" s="183">
        <v>5.47E-3</v>
      </c>
      <c r="C18" s="180">
        <v>3.6970900000000002E-4</v>
      </c>
      <c r="D18" s="206"/>
      <c r="E18" s="76"/>
      <c r="F18" s="184" t="s">
        <v>40</v>
      </c>
      <c r="G18" s="179">
        <v>5.47E-3</v>
      </c>
      <c r="H18" s="76">
        <v>3.6970900000000002E-4</v>
      </c>
      <c r="I18" s="206"/>
    </row>
    <row r="19" spans="1:9">
      <c r="A19" s="186" t="s">
        <v>41</v>
      </c>
      <c r="B19" s="183">
        <v>5.47E-3</v>
      </c>
      <c r="C19" s="180">
        <v>1.9395E-4</v>
      </c>
      <c r="D19" s="207"/>
      <c r="E19" s="76"/>
      <c r="F19" s="184" t="s">
        <v>41</v>
      </c>
      <c r="G19" s="179">
        <v>5.47E-3</v>
      </c>
      <c r="H19" s="76">
        <v>1.9395E-4</v>
      </c>
      <c r="I19" s="207"/>
    </row>
    <row r="20" spans="1:9">
      <c r="A20" s="187" t="s">
        <v>23</v>
      </c>
      <c r="B20" s="188">
        <v>4.96E-3</v>
      </c>
      <c r="C20" s="188">
        <v>3.4623499999999998E-5</v>
      </c>
      <c r="D20" s="205">
        <v>16</v>
      </c>
      <c r="E20" s="76"/>
      <c r="F20" s="195" t="s">
        <v>36</v>
      </c>
      <c r="G20" s="181">
        <v>5.9899999999999997E-3</v>
      </c>
      <c r="H20" s="181">
        <v>9.3600899999999994E-5</v>
      </c>
      <c r="I20" s="205">
        <v>16</v>
      </c>
    </row>
    <row r="21" spans="1:9">
      <c r="A21" s="186" t="s">
        <v>27</v>
      </c>
      <c r="B21" s="183">
        <v>5.1900000000000002E-3</v>
      </c>
      <c r="C21" s="180">
        <v>1.15314E-4</v>
      </c>
      <c r="D21" s="206"/>
      <c r="E21" s="76"/>
      <c r="F21" s="184" t="s">
        <v>37</v>
      </c>
      <c r="G21" s="179">
        <v>6.0899999999999999E-3</v>
      </c>
      <c r="H21" s="76">
        <v>3.4623500000000002E-4</v>
      </c>
      <c r="I21" s="206"/>
    </row>
    <row r="22" spans="1:9">
      <c r="A22" s="186" t="s">
        <v>30</v>
      </c>
      <c r="B22" s="183">
        <v>4.9399999999999999E-3</v>
      </c>
      <c r="C22" s="183">
        <v>3.3743299999999999E-5</v>
      </c>
      <c r="D22" s="206"/>
      <c r="E22" s="76"/>
      <c r="F22" s="184" t="s">
        <v>38</v>
      </c>
      <c r="G22" s="179">
        <v>4.9300000000000004E-3</v>
      </c>
      <c r="H22" s="76">
        <v>8.0983800000000001E-4</v>
      </c>
      <c r="I22" s="206"/>
    </row>
    <row r="23" spans="1:9">
      <c r="A23" s="186" t="s">
        <v>32</v>
      </c>
      <c r="B23" s="183">
        <v>5.0600000000000003E-3</v>
      </c>
      <c r="C23" s="180">
        <v>1.15901E-4</v>
      </c>
      <c r="D23" s="206"/>
      <c r="E23" s="76"/>
      <c r="F23" s="184" t="s">
        <v>42</v>
      </c>
      <c r="G23" s="179">
        <v>5.7299999999999999E-3</v>
      </c>
      <c r="H23" s="76">
        <v>2.2530400000000001E-4</v>
      </c>
      <c r="I23" s="206"/>
    </row>
    <row r="24" spans="1:9">
      <c r="A24" s="186" t="s">
        <v>34</v>
      </c>
      <c r="B24" s="183">
        <v>4.3299999999999996E-3</v>
      </c>
      <c r="C24" s="180">
        <v>1.95711E-4</v>
      </c>
      <c r="D24" s="206"/>
      <c r="E24" s="76"/>
      <c r="F24" s="184" t="s">
        <v>43</v>
      </c>
      <c r="G24" s="179">
        <v>5.8300000000000001E-3</v>
      </c>
      <c r="H24" s="76">
        <v>3.39613E-4</v>
      </c>
      <c r="I24" s="206"/>
    </row>
    <row r="25" spans="1:9">
      <c r="A25" s="186" t="s">
        <v>35</v>
      </c>
      <c r="B25" s="183">
        <v>5.11E-3</v>
      </c>
      <c r="C25" s="180">
        <v>1.07978E-4</v>
      </c>
      <c r="D25" s="206"/>
      <c r="E25" s="76"/>
      <c r="F25" s="184" t="s">
        <v>44</v>
      </c>
      <c r="G25" s="179">
        <v>5.8300000000000001E-3</v>
      </c>
      <c r="H25" s="76">
        <v>2.2654700000000001E-4</v>
      </c>
      <c r="I25" s="206"/>
    </row>
    <row r="26" spans="1:9">
      <c r="A26" s="186" t="s">
        <v>39</v>
      </c>
      <c r="B26" s="183">
        <v>5.0499999999999998E-3</v>
      </c>
      <c r="C26" s="180">
        <v>1.166343E-3</v>
      </c>
      <c r="D26" s="206"/>
      <c r="E26" s="76"/>
      <c r="F26" s="184" t="s">
        <v>39</v>
      </c>
      <c r="G26" s="179">
        <v>5.0499999999999998E-3</v>
      </c>
      <c r="H26" s="76">
        <v>1.166343E-3</v>
      </c>
      <c r="I26" s="206"/>
    </row>
    <row r="27" spans="1:9">
      <c r="A27" s="186" t="s">
        <v>40</v>
      </c>
      <c r="B27" s="183">
        <v>5.3600000000000002E-3</v>
      </c>
      <c r="C27" s="180">
        <v>6.6899699999999995E-4</v>
      </c>
      <c r="D27" s="206"/>
      <c r="E27" s="76"/>
      <c r="F27" s="184" t="s">
        <v>40</v>
      </c>
      <c r="G27" s="179">
        <v>5.3600000000000002E-3</v>
      </c>
      <c r="H27" s="76">
        <v>6.6899699999999995E-4</v>
      </c>
      <c r="I27" s="206"/>
    </row>
    <row r="28" spans="1:9">
      <c r="A28" s="186" t="s">
        <v>41</v>
      </c>
      <c r="B28" s="183">
        <v>5.1999999999999998E-3</v>
      </c>
      <c r="C28" s="180">
        <v>4.9881299999999997E-4</v>
      </c>
      <c r="D28" s="207"/>
      <c r="E28" s="76"/>
      <c r="F28" s="184" t="s">
        <v>41</v>
      </c>
      <c r="G28" s="179">
        <v>5.1999999999999998E-3</v>
      </c>
      <c r="H28" s="76">
        <v>4.9881299999999997E-4</v>
      </c>
      <c r="I28" s="207"/>
    </row>
    <row r="29" spans="1:9">
      <c r="A29" s="187" t="s">
        <v>23</v>
      </c>
      <c r="B29" s="188">
        <v>4.3800000000000002E-3</v>
      </c>
      <c r="C29" s="188">
        <v>2.8637799999999999E-5</v>
      </c>
      <c r="D29" s="205">
        <v>23</v>
      </c>
      <c r="E29" s="76"/>
      <c r="F29" s="195" t="s">
        <v>36</v>
      </c>
      <c r="G29" s="181">
        <v>5.62E-3</v>
      </c>
      <c r="H29" s="197">
        <v>1.6666200000000001E-4</v>
      </c>
      <c r="I29" s="205">
        <v>23</v>
      </c>
    </row>
    <row r="30" spans="1:9">
      <c r="A30" s="186" t="s">
        <v>27</v>
      </c>
      <c r="B30" s="183">
        <v>4.3099999999999996E-3</v>
      </c>
      <c r="C30" s="183">
        <v>7.5702299999999995E-5</v>
      </c>
      <c r="D30" s="206"/>
      <c r="E30" s="76"/>
      <c r="F30" s="184" t="s">
        <v>37</v>
      </c>
      <c r="G30" s="179">
        <v>5.4099999999999999E-3</v>
      </c>
      <c r="H30" s="76">
        <v>5.1348400000000003E-4</v>
      </c>
      <c r="I30" s="206"/>
    </row>
    <row r="31" spans="1:9">
      <c r="A31" s="186" t="s">
        <v>30</v>
      </c>
      <c r="B31" s="183">
        <v>4.1799999999999997E-3</v>
      </c>
      <c r="C31" s="183">
        <v>3.9435599999999999E-5</v>
      </c>
      <c r="D31" s="206"/>
      <c r="E31" s="76"/>
      <c r="F31" s="184" t="s">
        <v>38</v>
      </c>
      <c r="G31" s="179">
        <v>4.1200000000000004E-3</v>
      </c>
      <c r="H31" s="76">
        <v>9.1546900000000003E-4</v>
      </c>
      <c r="I31" s="206"/>
    </row>
    <row r="32" spans="1:9">
      <c r="A32" s="186" t="s">
        <v>32</v>
      </c>
      <c r="B32" s="183">
        <v>3.5500000000000002E-3</v>
      </c>
      <c r="C32" s="180">
        <v>1.6959700000000001E-4</v>
      </c>
      <c r="D32" s="206"/>
      <c r="E32" s="76"/>
      <c r="F32" s="184" t="s">
        <v>42</v>
      </c>
      <c r="G32" s="179">
        <v>2.4199999999999998E-3</v>
      </c>
      <c r="H32" s="76">
        <v>4.4508599999999997E-4</v>
      </c>
      <c r="I32" s="206"/>
    </row>
    <row r="33" spans="1:9">
      <c r="A33" s="186" t="s">
        <v>34</v>
      </c>
      <c r="B33" s="183">
        <v>3.2100000000000002E-3</v>
      </c>
      <c r="C33" s="180">
        <v>3.16893E-4</v>
      </c>
      <c r="D33" s="206"/>
      <c r="E33" s="76"/>
      <c r="F33" s="184" t="s">
        <v>43</v>
      </c>
      <c r="G33" s="179">
        <v>4.64E-3</v>
      </c>
      <c r="H33" s="76">
        <v>1.8720100000000001E-4</v>
      </c>
      <c r="I33" s="206"/>
    </row>
    <row r="34" spans="1:9">
      <c r="A34" s="186" t="s">
        <v>35</v>
      </c>
      <c r="B34" s="183">
        <v>3.96E-3</v>
      </c>
      <c r="C34" s="180">
        <v>1.2176900000000001E-4</v>
      </c>
      <c r="D34" s="206"/>
      <c r="E34" s="76"/>
      <c r="F34" s="184" t="s">
        <v>44</v>
      </c>
      <c r="G34" s="179">
        <v>4.8799999999999998E-3</v>
      </c>
      <c r="H34" s="76">
        <v>2.7666000000000002E-4</v>
      </c>
      <c r="I34" s="206"/>
    </row>
    <row r="35" spans="1:9">
      <c r="A35" s="186" t="s">
        <v>39</v>
      </c>
      <c r="B35" s="183">
        <v>4.6299999999999996E-3</v>
      </c>
      <c r="C35" s="180">
        <v>5.1495100000000004E-4</v>
      </c>
      <c r="D35" s="206"/>
      <c r="E35" s="76"/>
      <c r="F35" s="184" t="s">
        <v>39</v>
      </c>
      <c r="G35" s="179">
        <v>4.6299999999999996E-3</v>
      </c>
      <c r="H35" s="76">
        <v>5.1495100000000004E-4</v>
      </c>
      <c r="I35" s="206"/>
    </row>
    <row r="36" spans="1:9">
      <c r="A36" s="186" t="s">
        <v>40</v>
      </c>
      <c r="B36" s="183">
        <v>4.28E-3</v>
      </c>
      <c r="C36" s="180">
        <v>9.858899999999999E-4</v>
      </c>
      <c r="D36" s="206"/>
      <c r="E36" s="76"/>
      <c r="F36" s="184" t="s">
        <v>40</v>
      </c>
      <c r="G36" s="179">
        <v>4.28E-3</v>
      </c>
      <c r="H36" s="76">
        <v>9.858899999999999E-4</v>
      </c>
      <c r="I36" s="206"/>
    </row>
    <row r="37" spans="1:9" ht="13.5" customHeight="1">
      <c r="A37" s="186" t="s">
        <v>41</v>
      </c>
      <c r="B37" s="183">
        <v>4.7200000000000002E-3</v>
      </c>
      <c r="C37" s="180">
        <v>6.5139199999999999E-4</v>
      </c>
      <c r="D37" s="207"/>
      <c r="E37" s="76"/>
      <c r="F37" s="184" t="s">
        <v>41</v>
      </c>
      <c r="G37" s="179">
        <v>4.7200000000000002E-3</v>
      </c>
      <c r="H37" s="76">
        <v>6.5139199999999999E-4</v>
      </c>
      <c r="I37" s="207"/>
    </row>
    <row r="38" spans="1:9">
      <c r="A38" s="187" t="s">
        <v>23</v>
      </c>
      <c r="B38" s="188">
        <v>3.96E-3</v>
      </c>
      <c r="C38" s="188">
        <v>2.3708300000000001E-5</v>
      </c>
      <c r="D38" s="205">
        <v>30</v>
      </c>
      <c r="E38" s="76"/>
      <c r="F38" s="195" t="s">
        <v>36</v>
      </c>
      <c r="G38" s="181">
        <v>5.9300000000000004E-3</v>
      </c>
      <c r="H38" s="197">
        <v>2.53515E-4</v>
      </c>
      <c r="I38" s="205">
        <v>30</v>
      </c>
    </row>
    <row r="39" spans="1:9">
      <c r="A39" s="186" t="s">
        <v>27</v>
      </c>
      <c r="B39" s="183">
        <v>3.9899999999999996E-3</v>
      </c>
      <c r="C39" s="180">
        <v>1.35912E-4</v>
      </c>
      <c r="D39" s="206"/>
      <c r="E39" s="76"/>
      <c r="F39" s="184" t="s">
        <v>37</v>
      </c>
      <c r="G39" s="179">
        <v>5.7800000000000004E-3</v>
      </c>
      <c r="H39" s="76">
        <v>4.50693E-4</v>
      </c>
      <c r="I39" s="206"/>
    </row>
    <row r="40" spans="1:9">
      <c r="A40" s="186" t="s">
        <v>30</v>
      </c>
      <c r="B40" s="183">
        <v>3.8700000000000002E-3</v>
      </c>
      <c r="C40" s="183">
        <v>3.5679799999999997E-5</v>
      </c>
      <c r="D40" s="206"/>
      <c r="E40" s="76"/>
      <c r="F40" s="184" t="s">
        <v>38</v>
      </c>
      <c r="G40" s="179">
        <v>4.0299999999999997E-3</v>
      </c>
      <c r="H40" s="76">
        <v>8.9493000000000005E-4</v>
      </c>
      <c r="I40" s="206"/>
    </row>
    <row r="41" spans="1:9">
      <c r="A41" s="186" t="s">
        <v>32</v>
      </c>
      <c r="B41" s="183">
        <v>3.5100000000000001E-3</v>
      </c>
      <c r="C41" s="180">
        <v>1.7652100000000001E-4</v>
      </c>
      <c r="D41" s="206"/>
      <c r="E41" s="76"/>
      <c r="F41" s="184" t="s">
        <v>42</v>
      </c>
      <c r="G41" s="179">
        <v>4.6499999999999996E-3</v>
      </c>
      <c r="H41" s="76">
        <v>5.8810999999999998E-4</v>
      </c>
      <c r="I41" s="206"/>
    </row>
    <row r="42" spans="1:9">
      <c r="A42" s="186" t="s">
        <v>34</v>
      </c>
      <c r="B42" s="183">
        <v>2.7299999999999998E-3</v>
      </c>
      <c r="C42" s="180">
        <v>3.1219899999999998E-4</v>
      </c>
      <c r="D42" s="206"/>
      <c r="E42" s="76"/>
      <c r="F42" s="184" t="s">
        <v>43</v>
      </c>
      <c r="G42" s="179">
        <v>5.0299999999999997E-3</v>
      </c>
      <c r="H42" s="76">
        <v>4.1554199999999997E-4</v>
      </c>
      <c r="I42" s="206"/>
    </row>
    <row r="43" spans="1:9">
      <c r="A43" s="186" t="s">
        <v>35</v>
      </c>
      <c r="B43" s="183">
        <v>3.7000000000000002E-3</v>
      </c>
      <c r="C43" s="180">
        <v>1.5140499999999999E-4</v>
      </c>
      <c r="D43" s="206"/>
      <c r="E43" s="76"/>
      <c r="F43" s="184" t="s">
        <v>44</v>
      </c>
      <c r="G43" s="179">
        <v>4.8999999999999998E-3</v>
      </c>
      <c r="H43" s="76">
        <v>4.4384300000000003E-4</v>
      </c>
      <c r="I43" s="206"/>
    </row>
    <row r="44" spans="1:9">
      <c r="A44" s="186" t="s">
        <v>39</v>
      </c>
      <c r="B44" s="183">
        <v>3.5500000000000002E-3</v>
      </c>
      <c r="C44" s="180">
        <v>1.0621789999999999E-3</v>
      </c>
      <c r="D44" s="206"/>
      <c r="E44" s="76"/>
      <c r="F44" s="184" t="s">
        <v>39</v>
      </c>
      <c r="G44" s="179">
        <v>3.5500000000000002E-3</v>
      </c>
      <c r="H44" s="76">
        <v>1.0621789999999999E-3</v>
      </c>
      <c r="I44" s="206"/>
    </row>
    <row r="45" spans="1:9">
      <c r="A45" s="186" t="s">
        <v>40</v>
      </c>
      <c r="B45" s="183">
        <v>3.3300000000000001E-3</v>
      </c>
      <c r="C45" s="180">
        <v>1.3497299999999999E-3</v>
      </c>
      <c r="D45" s="206"/>
      <c r="E45" s="76"/>
      <c r="F45" s="184" t="s">
        <v>40</v>
      </c>
      <c r="G45" s="179">
        <v>3.3300000000000001E-3</v>
      </c>
      <c r="H45" s="76">
        <v>1.3497299999999999E-3</v>
      </c>
      <c r="I45" s="206"/>
    </row>
    <row r="46" spans="1:9">
      <c r="A46" s="186" t="s">
        <v>41</v>
      </c>
      <c r="B46" s="183">
        <v>3.5899999999999999E-3</v>
      </c>
      <c r="C46" s="180">
        <v>9.9762700000000006E-4</v>
      </c>
      <c r="D46" s="207"/>
      <c r="E46" s="76"/>
      <c r="F46" s="184" t="s">
        <v>41</v>
      </c>
      <c r="G46" s="179">
        <v>3.5899999999999999E-3</v>
      </c>
      <c r="H46" s="76">
        <v>9.9762700000000006E-4</v>
      </c>
      <c r="I46" s="207"/>
    </row>
    <row r="47" spans="1:9">
      <c r="A47" s="187" t="s">
        <v>23</v>
      </c>
      <c r="B47" s="188">
        <v>4.2199999999999998E-3</v>
      </c>
      <c r="C47" s="188">
        <v>4.36608E-5</v>
      </c>
      <c r="D47" s="205">
        <v>35</v>
      </c>
      <c r="E47" s="76"/>
      <c r="F47" s="195" t="s">
        <v>36</v>
      </c>
      <c r="G47" s="181">
        <v>4.62E-3</v>
      </c>
      <c r="H47" s="197">
        <v>2.53515E-4</v>
      </c>
      <c r="I47" s="205">
        <v>35</v>
      </c>
    </row>
    <row r="48" spans="1:9">
      <c r="A48" s="186" t="s">
        <v>27</v>
      </c>
      <c r="B48" s="183">
        <v>4.0000000000000001E-3</v>
      </c>
      <c r="C48" s="183">
        <v>8.9199599999999999E-5</v>
      </c>
      <c r="D48" s="206"/>
      <c r="E48" s="76"/>
      <c r="F48" s="184" t="s">
        <v>37</v>
      </c>
      <c r="G48" s="179">
        <v>4.62E-3</v>
      </c>
      <c r="H48" s="76">
        <v>2.5586199999999998E-4</v>
      </c>
      <c r="I48" s="206"/>
    </row>
    <row r="49" spans="1:9">
      <c r="A49" s="186" t="s">
        <v>30</v>
      </c>
      <c r="B49" s="183">
        <v>4.0299999999999997E-3</v>
      </c>
      <c r="C49" s="183">
        <v>3.1924100000000002E-5</v>
      </c>
      <c r="D49" s="206"/>
      <c r="E49" s="76"/>
      <c r="F49" s="184" t="s">
        <v>38</v>
      </c>
      <c r="G49" s="179">
        <v>3.2499999999999999E-3</v>
      </c>
      <c r="H49" s="76">
        <v>8.3624600000000002E-4</v>
      </c>
      <c r="I49" s="206"/>
    </row>
    <row r="50" spans="1:9">
      <c r="A50" s="186" t="s">
        <v>32</v>
      </c>
      <c r="B50" s="183">
        <v>3.0899999999999999E-3</v>
      </c>
      <c r="C50" s="180">
        <v>2.1055800000000001E-4</v>
      </c>
      <c r="D50" s="206"/>
      <c r="E50" s="76"/>
      <c r="F50" s="184" t="s">
        <v>42</v>
      </c>
      <c r="G50" s="179">
        <v>4.5300000000000002E-3</v>
      </c>
      <c r="H50" s="76">
        <v>5.4462300000000005E-4</v>
      </c>
      <c r="I50" s="206"/>
    </row>
    <row r="51" spans="1:9">
      <c r="A51" s="186" t="s">
        <v>34</v>
      </c>
      <c r="B51" s="183">
        <v>3.15E-3</v>
      </c>
      <c r="C51" s="180">
        <v>3.61493E-4</v>
      </c>
      <c r="D51" s="206"/>
      <c r="E51" s="76"/>
      <c r="F51" s="184" t="s">
        <v>43</v>
      </c>
      <c r="G51" s="179">
        <v>4.5900000000000003E-3</v>
      </c>
      <c r="H51" s="76">
        <v>5.2391500000000001E-4</v>
      </c>
      <c r="I51" s="206"/>
    </row>
    <row r="52" spans="1:9">
      <c r="A52" s="186" t="s">
        <v>35</v>
      </c>
      <c r="B52" s="183">
        <v>2.6099999999999999E-3</v>
      </c>
      <c r="C52" s="183">
        <v>3.7088200000000002E-5</v>
      </c>
      <c r="D52" s="206"/>
      <c r="E52" s="76"/>
      <c r="F52" s="184" t="s">
        <v>44</v>
      </c>
      <c r="G52" s="179">
        <v>4.5900000000000003E-3</v>
      </c>
      <c r="H52" s="76">
        <v>5.3702999999999997E-4</v>
      </c>
      <c r="I52" s="206"/>
    </row>
    <row r="53" spans="1:9">
      <c r="A53" s="186" t="s">
        <v>39</v>
      </c>
      <c r="B53" s="183">
        <v>3.4399999999999999E-3</v>
      </c>
      <c r="C53" s="180">
        <v>8.5825199999999999E-4</v>
      </c>
      <c r="D53" s="206"/>
      <c r="E53" s="76"/>
      <c r="F53" s="184" t="s">
        <v>39</v>
      </c>
      <c r="G53" s="179">
        <v>3.4399999999999999E-3</v>
      </c>
      <c r="H53" s="76">
        <v>8.5825199999999999E-4</v>
      </c>
      <c r="I53" s="206"/>
    </row>
    <row r="54" spans="1:9">
      <c r="A54" s="186" t="s">
        <v>40</v>
      </c>
      <c r="B54" s="183">
        <v>2.96E-3</v>
      </c>
      <c r="C54" s="180">
        <v>1.173679E-3</v>
      </c>
      <c r="D54" s="206"/>
      <c r="E54" s="76"/>
      <c r="F54" s="184" t="s">
        <v>40</v>
      </c>
      <c r="G54" s="179">
        <v>2.96E-3</v>
      </c>
      <c r="H54" s="76">
        <v>1.173679E-3</v>
      </c>
      <c r="I54" s="206"/>
    </row>
    <row r="55" spans="1:9">
      <c r="A55" s="186" t="s">
        <v>41</v>
      </c>
      <c r="B55" s="183">
        <v>3.3400000000000001E-3</v>
      </c>
      <c r="C55" s="180">
        <v>1.1149949999999999E-3</v>
      </c>
      <c r="D55" s="207"/>
      <c r="E55" s="76"/>
      <c r="F55" s="184" t="s">
        <v>41</v>
      </c>
      <c r="G55" s="179">
        <v>3.3400000000000001E-3</v>
      </c>
      <c r="H55" s="76">
        <v>1.1149949999999999E-3</v>
      </c>
      <c r="I55" s="207"/>
    </row>
    <row r="56" spans="1:9">
      <c r="A56" s="187" t="s">
        <v>23</v>
      </c>
      <c r="B56" s="188">
        <v>3.8400000000000001E-3</v>
      </c>
      <c r="C56" s="188">
        <v>3.9905099999999998E-5</v>
      </c>
      <c r="D56" s="205">
        <v>44</v>
      </c>
      <c r="E56" s="76"/>
      <c r="F56" s="195" t="s">
        <v>36</v>
      </c>
      <c r="G56" s="181">
        <v>6.1999999999999998E-3</v>
      </c>
      <c r="H56" s="197">
        <v>2.0492399999999999E-4</v>
      </c>
      <c r="I56" s="205">
        <v>44</v>
      </c>
    </row>
    <row r="57" spans="1:9">
      <c r="A57" s="186" t="s">
        <v>27</v>
      </c>
      <c r="B57" s="183">
        <v>4.0600000000000002E-3</v>
      </c>
      <c r="C57" s="183">
        <v>7.1124900000000001E-5</v>
      </c>
      <c r="D57" s="206"/>
      <c r="E57" s="76"/>
      <c r="F57" s="184" t="s">
        <v>37</v>
      </c>
      <c r="G57" s="179">
        <v>4.62E-3</v>
      </c>
      <c r="H57" s="76">
        <v>1.65723E-4</v>
      </c>
      <c r="I57" s="206"/>
    </row>
    <row r="58" spans="1:9">
      <c r="A58" s="186" t="s">
        <v>30</v>
      </c>
      <c r="B58" s="183">
        <v>4.3400000000000001E-3</v>
      </c>
      <c r="C58" s="183">
        <v>1.32039E-6</v>
      </c>
      <c r="D58" s="206"/>
      <c r="E58" s="76"/>
      <c r="F58" s="184" t="s">
        <v>38</v>
      </c>
      <c r="G58" s="179">
        <v>3.0999999999999999E-3</v>
      </c>
      <c r="H58" s="76">
        <v>7.1007600000000002E-4</v>
      </c>
      <c r="I58" s="206"/>
    </row>
    <row r="59" spans="1:9">
      <c r="A59" s="186" t="s">
        <v>32</v>
      </c>
      <c r="B59" s="183">
        <v>2.82E-3</v>
      </c>
      <c r="C59" s="180">
        <v>2.4882000000000002E-4</v>
      </c>
      <c r="D59" s="206"/>
      <c r="E59" s="76"/>
      <c r="F59" s="184" t="s">
        <v>42</v>
      </c>
      <c r="G59" s="179">
        <v>4.2500000000000003E-3</v>
      </c>
      <c r="H59" s="76">
        <v>5.7877000000000004E-4</v>
      </c>
      <c r="I59" s="206"/>
    </row>
    <row r="60" spans="1:9">
      <c r="A60" s="186" t="s">
        <v>34</v>
      </c>
      <c r="B60" s="183">
        <v>2.1199999999999999E-3</v>
      </c>
      <c r="C60" s="180">
        <v>3.6618799999999998E-4</v>
      </c>
      <c r="D60" s="206"/>
      <c r="E60" s="76"/>
      <c r="F60" s="184" t="s">
        <v>43</v>
      </c>
      <c r="G60" s="179">
        <v>4.3099999999999996E-3</v>
      </c>
      <c r="H60" s="76">
        <v>5.5676399999999996E-4</v>
      </c>
      <c r="I60" s="206"/>
    </row>
    <row r="61" spans="1:9">
      <c r="A61" s="186" t="s">
        <v>35</v>
      </c>
      <c r="B61" s="183">
        <v>2.7899999999999999E-3</v>
      </c>
      <c r="C61" s="180">
        <v>1.3966799999999999E-4</v>
      </c>
      <c r="D61" s="206"/>
      <c r="E61" s="76"/>
      <c r="F61" s="184" t="s">
        <v>44</v>
      </c>
      <c r="G61" s="179">
        <v>4.3699999999999998E-3</v>
      </c>
      <c r="H61" s="76">
        <v>5.7070099999999996E-4</v>
      </c>
      <c r="I61" s="206"/>
    </row>
    <row r="62" spans="1:9">
      <c r="A62" s="186" t="s">
        <v>39</v>
      </c>
      <c r="B62" s="183">
        <v>3.5599999999999998E-3</v>
      </c>
      <c r="C62" s="180">
        <v>7.3354900000000001E-4</v>
      </c>
      <c r="D62" s="206"/>
      <c r="E62" s="76"/>
      <c r="F62" s="184" t="s">
        <v>39</v>
      </c>
      <c r="G62" s="179">
        <v>3.5599999999999998E-3</v>
      </c>
      <c r="H62" s="76">
        <v>7.3354900000000001E-4</v>
      </c>
      <c r="I62" s="206"/>
    </row>
    <row r="63" spans="1:9">
      <c r="A63" s="186" t="s">
        <v>40</v>
      </c>
      <c r="B63" s="183">
        <v>3.1900000000000001E-3</v>
      </c>
      <c r="C63" s="180">
        <v>9.5361399999999998E-4</v>
      </c>
      <c r="D63" s="206"/>
      <c r="E63" s="76"/>
      <c r="F63" s="184" t="s">
        <v>40</v>
      </c>
      <c r="G63" s="179">
        <v>3.1900000000000001E-3</v>
      </c>
      <c r="H63" s="76">
        <v>9.5361399999999998E-4</v>
      </c>
      <c r="I63" s="206"/>
    </row>
    <row r="64" spans="1:9">
      <c r="A64" s="186" t="s">
        <v>41</v>
      </c>
      <c r="B64" s="183">
        <v>3.3400000000000001E-3</v>
      </c>
      <c r="C64" s="180">
        <v>1.173679E-3</v>
      </c>
      <c r="D64" s="207"/>
      <c r="E64" s="76"/>
      <c r="F64" s="184" t="s">
        <v>41</v>
      </c>
      <c r="G64" s="179">
        <v>3.3400000000000001E-3</v>
      </c>
      <c r="H64" s="76">
        <v>1.173679E-3</v>
      </c>
      <c r="I64" s="207"/>
    </row>
    <row r="65" spans="1:9">
      <c r="A65" s="187" t="s">
        <v>23</v>
      </c>
      <c r="B65" s="188">
        <v>4.1200000000000004E-3</v>
      </c>
      <c r="C65" s="188">
        <v>4.2721900000000002E-5</v>
      </c>
      <c r="D65" s="205">
        <v>51</v>
      </c>
      <c r="E65" s="76"/>
      <c r="F65" s="195" t="s">
        <v>36</v>
      </c>
      <c r="G65" s="181">
        <v>4.4299999999999999E-3</v>
      </c>
      <c r="H65" s="197">
        <v>1.9741299999999999E-4</v>
      </c>
      <c r="I65" s="205">
        <v>51</v>
      </c>
    </row>
    <row r="66" spans="1:9">
      <c r="A66" s="186" t="s">
        <v>27</v>
      </c>
      <c r="B66" s="183">
        <v>3.8400000000000001E-3</v>
      </c>
      <c r="C66" s="183">
        <v>6.4787099999999995E-5</v>
      </c>
      <c r="D66" s="206"/>
      <c r="E66" s="76"/>
      <c r="F66" s="184" t="s">
        <v>37</v>
      </c>
      <c r="G66" s="179">
        <v>4.4299999999999999E-3</v>
      </c>
      <c r="H66" s="76">
        <v>1.7957300000000001E-4</v>
      </c>
      <c r="I66" s="206"/>
    </row>
    <row r="67" spans="1:9">
      <c r="A67" s="186" t="s">
        <v>30</v>
      </c>
      <c r="B67" s="183">
        <v>4.1799999999999997E-3</v>
      </c>
      <c r="C67" s="183">
        <v>1.50231E-5</v>
      </c>
      <c r="D67" s="206"/>
      <c r="E67" s="76"/>
      <c r="F67" s="184" t="s">
        <v>38</v>
      </c>
      <c r="G67" s="179">
        <v>3.3400000000000001E-3</v>
      </c>
      <c r="H67" s="76">
        <v>4.1078799999999998E-4</v>
      </c>
      <c r="I67" s="206"/>
    </row>
    <row r="68" spans="1:9">
      <c r="A68" s="186" t="s">
        <v>32</v>
      </c>
      <c r="B68" s="183">
        <v>2.5500000000000002E-3</v>
      </c>
      <c r="C68" s="180">
        <v>2.6759899999999998E-4</v>
      </c>
      <c r="D68" s="206"/>
      <c r="E68" s="76"/>
      <c r="F68" s="184" t="s">
        <v>39</v>
      </c>
      <c r="G68" s="179">
        <v>3.5899999999999999E-3</v>
      </c>
      <c r="H68" s="76">
        <v>1.239698E-3</v>
      </c>
      <c r="I68" s="206"/>
    </row>
    <row r="69" spans="1:9">
      <c r="A69" s="186" t="s">
        <v>34</v>
      </c>
      <c r="B69" s="183">
        <v>1.92E-3</v>
      </c>
      <c r="C69" s="180">
        <v>3.2393500000000002E-4</v>
      </c>
      <c r="D69" s="206"/>
      <c r="E69" s="76"/>
      <c r="F69" s="184" t="s">
        <v>40</v>
      </c>
      <c r="G69" s="179">
        <v>3.0500000000000002E-3</v>
      </c>
      <c r="H69" s="76">
        <v>1.232363E-3</v>
      </c>
      <c r="I69" s="206"/>
    </row>
    <row r="70" spans="1:9">
      <c r="A70" s="186" t="s">
        <v>35</v>
      </c>
      <c r="B70" s="183">
        <v>2.7000000000000001E-3</v>
      </c>
      <c r="C70" s="180">
        <v>1.2370600000000001E-4</v>
      </c>
      <c r="D70" s="206"/>
      <c r="E70" s="76"/>
      <c r="F70" s="196" t="s">
        <v>41</v>
      </c>
      <c r="G70" s="182">
        <v>3.3400000000000001E-3</v>
      </c>
      <c r="H70" s="198">
        <v>1.320388E-3</v>
      </c>
      <c r="I70" s="207"/>
    </row>
    <row r="71" spans="1:9">
      <c r="A71" s="186" t="s">
        <v>39</v>
      </c>
      <c r="B71" s="183">
        <v>3.5899999999999999E-3</v>
      </c>
      <c r="C71" s="180">
        <v>1.239698E-3</v>
      </c>
      <c r="D71" s="206"/>
      <c r="F71" s="76"/>
      <c r="G71" s="76"/>
      <c r="H71" s="76"/>
      <c r="I71" s="76" t="s">
        <v>116</v>
      </c>
    </row>
    <row r="72" spans="1:9">
      <c r="A72" s="186" t="s">
        <v>40</v>
      </c>
      <c r="B72" s="183">
        <v>3.0500000000000002E-3</v>
      </c>
      <c r="C72" s="180">
        <v>1.232363E-3</v>
      </c>
      <c r="D72" s="206"/>
      <c r="E72" s="76"/>
      <c r="F72" s="76"/>
      <c r="G72" s="76"/>
      <c r="H72" s="76"/>
      <c r="I72" s="76" t="s">
        <v>116</v>
      </c>
    </row>
    <row r="73" spans="1:9">
      <c r="A73" s="189" t="s">
        <v>41</v>
      </c>
      <c r="B73" s="190">
        <v>3.3400000000000001E-3</v>
      </c>
      <c r="C73" s="194">
        <v>1.320388E-3</v>
      </c>
      <c r="D73" s="207"/>
      <c r="E73" s="76"/>
      <c r="F73" s="76"/>
      <c r="G73" s="76"/>
      <c r="H73" s="76"/>
      <c r="I73" s="76" t="s">
        <v>116</v>
      </c>
    </row>
    <row r="74" spans="1:9">
      <c r="A74"/>
      <c r="F74"/>
    </row>
    <row r="75" spans="1:9">
      <c r="A75"/>
      <c r="F75"/>
    </row>
    <row r="76" spans="1:9">
      <c r="A76"/>
      <c r="F76"/>
    </row>
    <row r="77" spans="1:9">
      <c r="A77"/>
      <c r="F77"/>
    </row>
    <row r="78" spans="1:9">
      <c r="A78"/>
      <c r="F78"/>
    </row>
    <row r="79" spans="1:9">
      <c r="A79"/>
      <c r="F79"/>
    </row>
    <row r="80" spans="1:9">
      <c r="A80"/>
      <c r="F80"/>
    </row>
    <row r="81" spans="1:6">
      <c r="A81"/>
      <c r="F81"/>
    </row>
    <row r="82" spans="1:6">
      <c r="A82"/>
      <c r="F82"/>
    </row>
    <row r="83" spans="1:6">
      <c r="A83"/>
      <c r="F83"/>
    </row>
    <row r="84" spans="1:6">
      <c r="A84"/>
      <c r="F84"/>
    </row>
    <row r="85" spans="1:6">
      <c r="A85"/>
      <c r="F85"/>
    </row>
    <row r="86" spans="1:6">
      <c r="A86"/>
      <c r="F86"/>
    </row>
    <row r="87" spans="1:6">
      <c r="A87"/>
      <c r="F87"/>
    </row>
    <row r="88" spans="1:6">
      <c r="A88"/>
      <c r="F88"/>
    </row>
    <row r="89" spans="1:6">
      <c r="A89"/>
      <c r="F89"/>
    </row>
    <row r="90" spans="1:6">
      <c r="A90"/>
      <c r="F90"/>
    </row>
    <row r="91" spans="1:6">
      <c r="A91"/>
      <c r="F91"/>
    </row>
    <row r="92" spans="1:6">
      <c r="A92"/>
      <c r="F92"/>
    </row>
    <row r="93" spans="1:6">
      <c r="A93"/>
      <c r="F93"/>
    </row>
    <row r="94" spans="1:6">
      <c r="A94"/>
      <c r="F94"/>
    </row>
    <row r="95" spans="1:6">
      <c r="A95"/>
      <c r="F95"/>
    </row>
    <row r="96" spans="1:6">
      <c r="A96"/>
      <c r="F96"/>
    </row>
    <row r="97" spans="1:6">
      <c r="A97"/>
      <c r="F97"/>
    </row>
    <row r="98" spans="1:6">
      <c r="A98"/>
      <c r="F98"/>
    </row>
    <row r="99" spans="1:6">
      <c r="A99"/>
      <c r="F99"/>
    </row>
    <row r="100" spans="1:6">
      <c r="A100"/>
      <c r="F100"/>
    </row>
    <row r="101" spans="1:6">
      <c r="A101"/>
      <c r="F101"/>
    </row>
    <row r="102" spans="1:6">
      <c r="A102"/>
      <c r="F102"/>
    </row>
    <row r="103" spans="1:6">
      <c r="A103"/>
      <c r="F103"/>
    </row>
    <row r="104" spans="1:6">
      <c r="A104"/>
      <c r="F104"/>
    </row>
    <row r="105" spans="1:6">
      <c r="A105"/>
      <c r="F105"/>
    </row>
    <row r="106" spans="1:6">
      <c r="A106"/>
      <c r="F106"/>
    </row>
    <row r="107" spans="1:6">
      <c r="A107"/>
      <c r="F107"/>
    </row>
    <row r="108" spans="1:6">
      <c r="A108"/>
      <c r="F108"/>
    </row>
    <row r="109" spans="1:6">
      <c r="A109"/>
      <c r="F109"/>
    </row>
    <row r="110" spans="1:6">
      <c r="A110"/>
      <c r="F110"/>
    </row>
    <row r="111" spans="1:6">
      <c r="A111"/>
      <c r="F111"/>
    </row>
    <row r="112" spans="1:6">
      <c r="A112"/>
      <c r="F112"/>
    </row>
    <row r="113" spans="1:6">
      <c r="A113"/>
      <c r="F113"/>
    </row>
    <row r="114" spans="1:6">
      <c r="A114"/>
      <c r="F114"/>
    </row>
    <row r="115" spans="1:6">
      <c r="A115"/>
      <c r="F115"/>
    </row>
    <row r="116" spans="1:6">
      <c r="A116"/>
      <c r="F116"/>
    </row>
    <row r="117" spans="1:6">
      <c r="A117"/>
      <c r="F117"/>
    </row>
    <row r="118" spans="1:6">
      <c r="A118"/>
      <c r="F118"/>
    </row>
    <row r="119" spans="1:6">
      <c r="A119"/>
      <c r="F119"/>
    </row>
    <row r="120" spans="1:6">
      <c r="A120"/>
      <c r="F120"/>
    </row>
    <row r="121" spans="1:6">
      <c r="A121"/>
      <c r="F121"/>
    </row>
    <row r="122" spans="1:6">
      <c r="A122"/>
      <c r="F122"/>
    </row>
    <row r="123" spans="1:6">
      <c r="A123"/>
      <c r="F123"/>
    </row>
    <row r="124" spans="1:6">
      <c r="A124"/>
      <c r="F124"/>
    </row>
    <row r="125" spans="1:6">
      <c r="A125"/>
      <c r="F125"/>
    </row>
    <row r="126" spans="1:6">
      <c r="A126"/>
      <c r="F126"/>
    </row>
    <row r="127" spans="1:6">
      <c r="A127"/>
      <c r="F127"/>
    </row>
    <row r="128" spans="1:6">
      <c r="A128"/>
      <c r="F128"/>
    </row>
    <row r="129" spans="1:6">
      <c r="A129"/>
      <c r="F129"/>
    </row>
    <row r="130" spans="1:6">
      <c r="A130"/>
      <c r="F130"/>
    </row>
    <row r="131" spans="1:6">
      <c r="A131"/>
      <c r="F131"/>
    </row>
    <row r="132" spans="1:6">
      <c r="A132"/>
      <c r="F132"/>
    </row>
    <row r="133" spans="1:6">
      <c r="A133"/>
      <c r="F133"/>
    </row>
    <row r="134" spans="1:6">
      <c r="A134"/>
      <c r="F134"/>
    </row>
    <row r="135" spans="1:6">
      <c r="A135"/>
      <c r="F135"/>
    </row>
    <row r="136" spans="1:6">
      <c r="A136"/>
      <c r="F136"/>
    </row>
    <row r="137" spans="1:6">
      <c r="A137"/>
      <c r="F137"/>
    </row>
    <row r="138" spans="1:6">
      <c r="A138"/>
      <c r="F138"/>
    </row>
    <row r="139" spans="1:6">
      <c r="A139"/>
      <c r="F139"/>
    </row>
    <row r="140" spans="1:6">
      <c r="A140"/>
      <c r="F140"/>
    </row>
    <row r="141" spans="1:6">
      <c r="A141"/>
      <c r="F141"/>
    </row>
    <row r="142" spans="1:6">
      <c r="A142"/>
      <c r="F142"/>
    </row>
    <row r="143" spans="1:6">
      <c r="A143"/>
      <c r="F143"/>
    </row>
    <row r="144" spans="1:6">
      <c r="A144"/>
      <c r="F144"/>
    </row>
    <row r="145" spans="1:6">
      <c r="A145"/>
      <c r="F145"/>
    </row>
    <row r="146" spans="1:6">
      <c r="A146"/>
      <c r="F146"/>
    </row>
    <row r="147" spans="1:6">
      <c r="A147"/>
      <c r="F147"/>
    </row>
    <row r="148" spans="1:6">
      <c r="A148"/>
      <c r="F148"/>
    </row>
    <row r="149" spans="1:6">
      <c r="A149"/>
      <c r="F149"/>
    </row>
    <row r="150" spans="1:6">
      <c r="A150"/>
      <c r="F150"/>
    </row>
    <row r="151" spans="1:6">
      <c r="A151"/>
      <c r="F151"/>
    </row>
    <row r="152" spans="1:6">
      <c r="A152"/>
      <c r="F152"/>
    </row>
    <row r="153" spans="1:6">
      <c r="A153"/>
      <c r="F153"/>
    </row>
    <row r="154" spans="1:6">
      <c r="A154"/>
      <c r="F154"/>
    </row>
    <row r="155" spans="1:6">
      <c r="A155"/>
      <c r="F155"/>
    </row>
    <row r="156" spans="1:6">
      <c r="A156"/>
      <c r="F156"/>
    </row>
    <row r="157" spans="1:6">
      <c r="A157"/>
      <c r="F157"/>
    </row>
    <row r="158" spans="1:6">
      <c r="A158"/>
      <c r="F158"/>
    </row>
    <row r="159" spans="1:6">
      <c r="A159"/>
      <c r="F159"/>
    </row>
    <row r="160" spans="1:6">
      <c r="A160"/>
      <c r="F160"/>
    </row>
    <row r="161" spans="1:6">
      <c r="A161"/>
      <c r="F161"/>
    </row>
    <row r="162" spans="1:6">
      <c r="A162"/>
      <c r="F162"/>
    </row>
    <row r="163" spans="1:6">
      <c r="A163"/>
      <c r="F163"/>
    </row>
    <row r="164" spans="1:6">
      <c r="A164"/>
      <c r="F164"/>
    </row>
    <row r="165" spans="1:6">
      <c r="A165"/>
      <c r="F165"/>
    </row>
    <row r="166" spans="1:6">
      <c r="A166"/>
      <c r="F166"/>
    </row>
    <row r="167" spans="1:6">
      <c r="A167"/>
      <c r="F167"/>
    </row>
    <row r="168" spans="1:6">
      <c r="A168"/>
      <c r="F168"/>
    </row>
    <row r="169" spans="1:6">
      <c r="A169"/>
      <c r="F169"/>
    </row>
    <row r="170" spans="1:6">
      <c r="A170"/>
      <c r="F170"/>
    </row>
    <row r="171" spans="1:6">
      <c r="A171"/>
      <c r="F171"/>
    </row>
    <row r="172" spans="1:6">
      <c r="A172"/>
      <c r="F172"/>
    </row>
    <row r="173" spans="1:6">
      <c r="A173"/>
      <c r="F173"/>
    </row>
    <row r="174" spans="1:6">
      <c r="A174"/>
      <c r="F174"/>
    </row>
    <row r="175" spans="1:6">
      <c r="A175"/>
      <c r="F175"/>
    </row>
    <row r="176" spans="1:6">
      <c r="A176"/>
      <c r="F176"/>
    </row>
    <row r="177" spans="1:6">
      <c r="A177"/>
      <c r="F177"/>
    </row>
    <row r="178" spans="1:6">
      <c r="A178"/>
      <c r="F178"/>
    </row>
    <row r="179" spans="1:6">
      <c r="A179"/>
      <c r="F179"/>
    </row>
    <row r="180" spans="1:6">
      <c r="A180"/>
      <c r="F180"/>
    </row>
    <row r="181" spans="1:6">
      <c r="A181"/>
      <c r="F181"/>
    </row>
    <row r="182" spans="1:6">
      <c r="A182"/>
      <c r="F182"/>
    </row>
    <row r="183" spans="1:6">
      <c r="A183"/>
      <c r="F183"/>
    </row>
    <row r="184" spans="1:6">
      <c r="A184"/>
      <c r="F184"/>
    </row>
    <row r="185" spans="1:6">
      <c r="A185"/>
      <c r="F185"/>
    </row>
    <row r="186" spans="1:6">
      <c r="A186"/>
      <c r="F186"/>
    </row>
    <row r="187" spans="1:6">
      <c r="A187"/>
      <c r="F187"/>
    </row>
    <row r="188" spans="1:6">
      <c r="A188"/>
      <c r="F188"/>
    </row>
    <row r="189" spans="1:6">
      <c r="A189"/>
      <c r="F189"/>
    </row>
    <row r="190" spans="1:6">
      <c r="A190"/>
      <c r="F190"/>
    </row>
    <row r="191" spans="1:6">
      <c r="A191"/>
      <c r="F191"/>
    </row>
    <row r="192" spans="1:6">
      <c r="A192"/>
      <c r="F192"/>
    </row>
    <row r="193" spans="1:6">
      <c r="A193"/>
      <c r="F193"/>
    </row>
    <row r="194" spans="1:6">
      <c r="A194"/>
      <c r="F194"/>
    </row>
    <row r="195" spans="1:6">
      <c r="A195"/>
      <c r="F195"/>
    </row>
    <row r="196" spans="1:6">
      <c r="A196"/>
      <c r="F196"/>
    </row>
    <row r="197" spans="1:6">
      <c r="A197"/>
      <c r="F197"/>
    </row>
    <row r="198" spans="1:6">
      <c r="A198"/>
      <c r="F198"/>
    </row>
    <row r="199" spans="1:6">
      <c r="A199"/>
      <c r="F199"/>
    </row>
    <row r="200" spans="1:6">
      <c r="A200"/>
      <c r="F200"/>
    </row>
    <row r="201" spans="1:6">
      <c r="A201"/>
      <c r="F201"/>
    </row>
    <row r="202" spans="1:6">
      <c r="A202"/>
      <c r="F202"/>
    </row>
    <row r="203" spans="1:6">
      <c r="A203"/>
      <c r="F203"/>
    </row>
    <row r="204" spans="1:6">
      <c r="A204"/>
      <c r="F204"/>
    </row>
    <row r="205" spans="1:6">
      <c r="A205"/>
      <c r="F205"/>
    </row>
    <row r="206" spans="1:6">
      <c r="A206"/>
      <c r="F206"/>
    </row>
    <row r="207" spans="1:6">
      <c r="A207"/>
      <c r="F207"/>
    </row>
    <row r="208" spans="1:6">
      <c r="A208"/>
      <c r="F208"/>
    </row>
    <row r="209" spans="1:6">
      <c r="A209"/>
      <c r="F209"/>
    </row>
    <row r="210" spans="1:6">
      <c r="A210"/>
      <c r="F210"/>
    </row>
    <row r="211" spans="1:6">
      <c r="A211"/>
      <c r="F211"/>
    </row>
    <row r="212" spans="1:6">
      <c r="A212"/>
      <c r="F212"/>
    </row>
    <row r="213" spans="1:6">
      <c r="A213"/>
      <c r="F213"/>
    </row>
    <row r="214" spans="1:6">
      <c r="A214"/>
      <c r="F214"/>
    </row>
    <row r="215" spans="1:6">
      <c r="A215"/>
      <c r="F215"/>
    </row>
    <row r="216" spans="1:6">
      <c r="A216"/>
      <c r="F216"/>
    </row>
    <row r="217" spans="1:6">
      <c r="A217"/>
      <c r="F217"/>
    </row>
    <row r="218" spans="1:6">
      <c r="A218"/>
      <c r="F218"/>
    </row>
    <row r="219" spans="1:6">
      <c r="A219"/>
      <c r="F219"/>
    </row>
    <row r="220" spans="1:6">
      <c r="A220"/>
      <c r="F220"/>
    </row>
    <row r="221" spans="1:6">
      <c r="A221"/>
      <c r="F221"/>
    </row>
    <row r="222" spans="1:6">
      <c r="A222"/>
      <c r="F222"/>
    </row>
    <row r="223" spans="1:6">
      <c r="A223"/>
      <c r="F223"/>
    </row>
    <row r="224" spans="1:6">
      <c r="A224"/>
      <c r="F224"/>
    </row>
    <row r="225" spans="1:6">
      <c r="A225"/>
      <c r="F225"/>
    </row>
    <row r="226" spans="1:6">
      <c r="A226"/>
      <c r="F226"/>
    </row>
    <row r="227" spans="1:6">
      <c r="A227"/>
      <c r="F227"/>
    </row>
    <row r="228" spans="1:6">
      <c r="A228"/>
      <c r="F228"/>
    </row>
    <row r="229" spans="1:6">
      <c r="A229"/>
      <c r="F229"/>
    </row>
    <row r="230" spans="1:6">
      <c r="A230"/>
      <c r="F230"/>
    </row>
    <row r="231" spans="1:6">
      <c r="A231"/>
      <c r="F231"/>
    </row>
    <row r="232" spans="1:6">
      <c r="A232"/>
      <c r="F232"/>
    </row>
    <row r="233" spans="1:6">
      <c r="A233"/>
      <c r="F233"/>
    </row>
    <row r="234" spans="1:6">
      <c r="A234"/>
      <c r="F234"/>
    </row>
    <row r="235" spans="1:6">
      <c r="A235"/>
      <c r="F235"/>
    </row>
    <row r="236" spans="1:6">
      <c r="A236"/>
      <c r="F236"/>
    </row>
    <row r="237" spans="1:6">
      <c r="A237"/>
      <c r="F237"/>
    </row>
    <row r="238" spans="1:6">
      <c r="A238"/>
      <c r="F238"/>
    </row>
    <row r="239" spans="1:6">
      <c r="A239"/>
      <c r="F239"/>
    </row>
    <row r="240" spans="1:6">
      <c r="A240"/>
      <c r="F240"/>
    </row>
    <row r="241" spans="1:6">
      <c r="A241"/>
      <c r="F241"/>
    </row>
    <row r="242" spans="1:6">
      <c r="A242"/>
      <c r="F242"/>
    </row>
    <row r="243" spans="1:6">
      <c r="A243"/>
      <c r="F243"/>
    </row>
    <row r="244" spans="1:6">
      <c r="A244"/>
      <c r="F244"/>
    </row>
    <row r="245" spans="1:6">
      <c r="A245"/>
      <c r="F245"/>
    </row>
    <row r="246" spans="1:6">
      <c r="A246"/>
      <c r="F246"/>
    </row>
    <row r="247" spans="1:6">
      <c r="A247"/>
      <c r="F247"/>
    </row>
    <row r="248" spans="1:6">
      <c r="A248"/>
      <c r="F248"/>
    </row>
    <row r="249" spans="1:6">
      <c r="A249"/>
      <c r="F249"/>
    </row>
    <row r="250" spans="1:6">
      <c r="A250"/>
      <c r="F250"/>
    </row>
    <row r="251" spans="1:6">
      <c r="A251"/>
      <c r="F251"/>
    </row>
    <row r="252" spans="1:6">
      <c r="A252"/>
      <c r="F252"/>
    </row>
    <row r="253" spans="1:6">
      <c r="A253"/>
      <c r="F253"/>
    </row>
    <row r="254" spans="1:6">
      <c r="A254"/>
      <c r="F254"/>
    </row>
    <row r="255" spans="1:6">
      <c r="A255"/>
      <c r="F255"/>
    </row>
    <row r="256" spans="1:6">
      <c r="A256"/>
      <c r="F256"/>
    </row>
    <row r="257" spans="1:6">
      <c r="A257"/>
      <c r="F257"/>
    </row>
    <row r="258" spans="1:6">
      <c r="A258"/>
      <c r="F258"/>
    </row>
    <row r="259" spans="1:6">
      <c r="A259"/>
      <c r="F259"/>
    </row>
    <row r="260" spans="1:6">
      <c r="A260"/>
      <c r="F260"/>
    </row>
    <row r="261" spans="1:6">
      <c r="A261"/>
      <c r="F261"/>
    </row>
    <row r="262" spans="1:6">
      <c r="A262"/>
      <c r="F262"/>
    </row>
    <row r="263" spans="1:6">
      <c r="A263"/>
      <c r="F263"/>
    </row>
    <row r="264" spans="1:6">
      <c r="A264"/>
      <c r="F264"/>
    </row>
    <row r="265" spans="1:6">
      <c r="A265"/>
      <c r="F265"/>
    </row>
    <row r="266" spans="1:6">
      <c r="A266"/>
      <c r="F266"/>
    </row>
    <row r="267" spans="1:6">
      <c r="A267"/>
      <c r="F267"/>
    </row>
    <row r="268" spans="1:6">
      <c r="A268"/>
      <c r="F268"/>
    </row>
    <row r="269" spans="1:6">
      <c r="A269"/>
      <c r="F269"/>
    </row>
    <row r="270" spans="1:6">
      <c r="A270"/>
      <c r="F270"/>
    </row>
    <row r="271" spans="1:6">
      <c r="A271"/>
      <c r="F271"/>
    </row>
    <row r="272" spans="1:6">
      <c r="A272"/>
      <c r="F272"/>
    </row>
    <row r="273" spans="1:6">
      <c r="A273"/>
      <c r="F273"/>
    </row>
    <row r="274" spans="1:6">
      <c r="A274"/>
      <c r="F274"/>
    </row>
    <row r="275" spans="1:6">
      <c r="A275"/>
      <c r="F275"/>
    </row>
    <row r="276" spans="1:6">
      <c r="A276"/>
      <c r="F276"/>
    </row>
    <row r="277" spans="1:6">
      <c r="A277"/>
      <c r="F277"/>
    </row>
    <row r="278" spans="1:6">
      <c r="A278"/>
      <c r="F278"/>
    </row>
    <row r="279" spans="1:6">
      <c r="A279"/>
      <c r="F279"/>
    </row>
    <row r="280" spans="1:6">
      <c r="A280"/>
      <c r="F280"/>
    </row>
    <row r="281" spans="1:6">
      <c r="A281"/>
      <c r="F281"/>
    </row>
    <row r="282" spans="1:6">
      <c r="A282"/>
      <c r="F282"/>
    </row>
    <row r="283" spans="1:6">
      <c r="A283"/>
      <c r="F283"/>
    </row>
    <row r="284" spans="1:6">
      <c r="A284"/>
      <c r="F284"/>
    </row>
    <row r="285" spans="1:6">
      <c r="A285"/>
      <c r="F285"/>
    </row>
    <row r="286" spans="1:6">
      <c r="A286"/>
      <c r="F286"/>
    </row>
    <row r="287" spans="1:6">
      <c r="A287"/>
      <c r="F287"/>
    </row>
    <row r="288" spans="1:6">
      <c r="A288"/>
      <c r="F288"/>
    </row>
    <row r="289" spans="1:6">
      <c r="A289"/>
      <c r="F289"/>
    </row>
    <row r="290" spans="1:6">
      <c r="A290"/>
      <c r="F290"/>
    </row>
    <row r="291" spans="1:6">
      <c r="A291"/>
      <c r="F291"/>
    </row>
    <row r="292" spans="1:6">
      <c r="A292"/>
      <c r="F292"/>
    </row>
    <row r="293" spans="1:6">
      <c r="A293"/>
      <c r="F293"/>
    </row>
    <row r="294" spans="1:6">
      <c r="A294"/>
      <c r="F294"/>
    </row>
    <row r="295" spans="1:6">
      <c r="A295"/>
      <c r="F295"/>
    </row>
    <row r="296" spans="1:6">
      <c r="A296"/>
      <c r="F296"/>
    </row>
    <row r="297" spans="1:6">
      <c r="A297"/>
      <c r="F297"/>
    </row>
    <row r="298" spans="1:6">
      <c r="A298"/>
      <c r="F298"/>
    </row>
    <row r="299" spans="1:6">
      <c r="A299"/>
      <c r="F299"/>
    </row>
    <row r="300" spans="1:6">
      <c r="A300"/>
      <c r="F300"/>
    </row>
    <row r="301" spans="1:6">
      <c r="A301"/>
      <c r="F301"/>
    </row>
    <row r="302" spans="1:6">
      <c r="A302"/>
      <c r="F302"/>
    </row>
    <row r="303" spans="1:6">
      <c r="A303"/>
      <c r="F303"/>
    </row>
    <row r="304" spans="1:6">
      <c r="A304"/>
      <c r="F304"/>
    </row>
    <row r="305" spans="1:6">
      <c r="A305"/>
      <c r="F305"/>
    </row>
    <row r="306" spans="1:6">
      <c r="A306"/>
      <c r="F306"/>
    </row>
    <row r="307" spans="1:6">
      <c r="A307"/>
      <c r="F307"/>
    </row>
    <row r="308" spans="1:6">
      <c r="A308"/>
      <c r="F308"/>
    </row>
    <row r="309" spans="1:6">
      <c r="A309"/>
      <c r="F309"/>
    </row>
    <row r="310" spans="1:6">
      <c r="A310"/>
      <c r="F310"/>
    </row>
    <row r="311" spans="1:6">
      <c r="A311"/>
      <c r="F311"/>
    </row>
    <row r="312" spans="1:6">
      <c r="A312"/>
      <c r="F312"/>
    </row>
    <row r="313" spans="1:6">
      <c r="A313"/>
      <c r="F313"/>
    </row>
    <row r="314" spans="1:6">
      <c r="A314"/>
      <c r="F314"/>
    </row>
    <row r="315" spans="1:6">
      <c r="A315"/>
      <c r="F315"/>
    </row>
    <row r="316" spans="1:6">
      <c r="A316"/>
      <c r="F316"/>
    </row>
    <row r="317" spans="1:6">
      <c r="A317"/>
      <c r="F317"/>
    </row>
    <row r="318" spans="1:6">
      <c r="A318"/>
      <c r="F318"/>
    </row>
    <row r="319" spans="1:6">
      <c r="A319"/>
      <c r="F319"/>
    </row>
    <row r="320" spans="1:6">
      <c r="A320"/>
      <c r="F320"/>
    </row>
    <row r="321" spans="1:6">
      <c r="A321"/>
      <c r="F321"/>
    </row>
    <row r="322" spans="1:6">
      <c r="A322"/>
      <c r="F322"/>
    </row>
    <row r="323" spans="1:6">
      <c r="A323"/>
      <c r="F323"/>
    </row>
    <row r="324" spans="1:6">
      <c r="A324"/>
      <c r="F324"/>
    </row>
    <row r="325" spans="1:6">
      <c r="A325"/>
      <c r="F325"/>
    </row>
    <row r="326" spans="1:6">
      <c r="A326"/>
      <c r="F326"/>
    </row>
    <row r="327" spans="1:6">
      <c r="A327"/>
      <c r="F327"/>
    </row>
    <row r="328" spans="1:6">
      <c r="A328"/>
      <c r="F328"/>
    </row>
    <row r="329" spans="1:6">
      <c r="A329"/>
      <c r="F329"/>
    </row>
    <row r="330" spans="1:6">
      <c r="A330"/>
      <c r="F330"/>
    </row>
    <row r="331" spans="1:6">
      <c r="A331"/>
      <c r="F331"/>
    </row>
    <row r="332" spans="1:6">
      <c r="A332"/>
      <c r="F332"/>
    </row>
    <row r="333" spans="1:6">
      <c r="A333"/>
      <c r="F333"/>
    </row>
    <row r="334" spans="1:6">
      <c r="A334"/>
      <c r="F334"/>
    </row>
    <row r="335" spans="1:6">
      <c r="A335"/>
      <c r="F335"/>
    </row>
    <row r="336" spans="1:6">
      <c r="A336"/>
      <c r="F336"/>
    </row>
    <row r="337" spans="1:6">
      <c r="A337"/>
      <c r="F337"/>
    </row>
    <row r="338" spans="1:6">
      <c r="A338"/>
      <c r="F338"/>
    </row>
    <row r="339" spans="1:6">
      <c r="A339"/>
      <c r="F339"/>
    </row>
    <row r="340" spans="1:6">
      <c r="A340"/>
      <c r="F340"/>
    </row>
    <row r="341" spans="1:6">
      <c r="A341"/>
      <c r="F341"/>
    </row>
    <row r="342" spans="1:6">
      <c r="A342"/>
      <c r="F342"/>
    </row>
    <row r="343" spans="1:6">
      <c r="A343"/>
      <c r="F343"/>
    </row>
    <row r="344" spans="1:6">
      <c r="A344"/>
      <c r="F344"/>
    </row>
    <row r="345" spans="1:6">
      <c r="A345"/>
      <c r="F345"/>
    </row>
    <row r="346" spans="1:6">
      <c r="A346"/>
      <c r="F346"/>
    </row>
    <row r="347" spans="1:6">
      <c r="A347"/>
      <c r="F347"/>
    </row>
    <row r="348" spans="1:6">
      <c r="A348"/>
      <c r="F348"/>
    </row>
    <row r="349" spans="1:6">
      <c r="A349"/>
      <c r="F349"/>
    </row>
    <row r="350" spans="1:6">
      <c r="A350"/>
      <c r="F350"/>
    </row>
    <row r="351" spans="1:6">
      <c r="A351"/>
      <c r="F351"/>
    </row>
    <row r="352" spans="1:6">
      <c r="A352"/>
      <c r="F352"/>
    </row>
    <row r="353" spans="1:6">
      <c r="A353"/>
      <c r="F353"/>
    </row>
    <row r="354" spans="1:6">
      <c r="A354"/>
      <c r="F354"/>
    </row>
    <row r="355" spans="1:6">
      <c r="A355"/>
      <c r="F355"/>
    </row>
    <row r="356" spans="1:6">
      <c r="A356"/>
      <c r="F356"/>
    </row>
  </sheetData>
  <mergeCells count="16">
    <mergeCell ref="D56:D64"/>
    <mergeCell ref="D65:D73"/>
    <mergeCell ref="I2:I10"/>
    <mergeCell ref="I11:I19"/>
    <mergeCell ref="I20:I28"/>
    <mergeCell ref="I29:I37"/>
    <mergeCell ref="I38:I46"/>
    <mergeCell ref="I47:I55"/>
    <mergeCell ref="I56:I64"/>
    <mergeCell ref="I65:I70"/>
    <mergeCell ref="D2:D10"/>
    <mergeCell ref="D11:D19"/>
    <mergeCell ref="D20:D28"/>
    <mergeCell ref="D29:D37"/>
    <mergeCell ref="D38:D46"/>
    <mergeCell ref="D47:D5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44A2-F272-4A0D-A41A-17ED1F3EC19A}">
  <dimension ref="A1:AD214"/>
  <sheetViews>
    <sheetView workbookViewId="0">
      <selection activeCell="B182" sqref="B182"/>
    </sheetView>
  </sheetViews>
  <sheetFormatPr defaultRowHeight="15"/>
  <sheetData>
    <row r="1" spans="1:30">
      <c r="A1" s="115" t="s">
        <v>117</v>
      </c>
      <c r="B1" s="115"/>
      <c r="C1" s="115"/>
      <c r="D1" s="76"/>
      <c r="E1" s="76"/>
      <c r="F1" s="76"/>
      <c r="G1" s="76" t="s">
        <v>118</v>
      </c>
      <c r="H1" s="116"/>
      <c r="I1" s="116"/>
      <c r="J1" s="116"/>
      <c r="K1" s="115"/>
      <c r="L1" s="115"/>
      <c r="M1" s="115"/>
      <c r="N1" s="115"/>
      <c r="O1" s="115"/>
      <c r="P1" s="115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</row>
    <row r="2" spans="1:30">
      <c r="A2" s="115"/>
      <c r="B2" s="115"/>
      <c r="C2" s="115"/>
      <c r="D2" s="76"/>
      <c r="E2" s="76"/>
      <c r="F2" s="76"/>
      <c r="G2" s="76"/>
      <c r="H2" s="116"/>
      <c r="I2" s="116"/>
      <c r="J2" s="116"/>
      <c r="K2" s="115"/>
      <c r="L2" s="115"/>
      <c r="M2" s="115"/>
      <c r="N2" s="115"/>
      <c r="O2" s="115"/>
      <c r="P2" s="115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1:30">
      <c r="A3" s="115" t="s">
        <v>119</v>
      </c>
      <c r="B3" s="115"/>
      <c r="C3" s="115"/>
      <c r="D3" s="76"/>
      <c r="E3" s="76"/>
      <c r="F3" s="76"/>
      <c r="G3" s="76"/>
      <c r="H3" s="116"/>
      <c r="I3" s="116"/>
      <c r="J3" s="116"/>
      <c r="K3" s="115"/>
      <c r="L3" s="115"/>
      <c r="M3" s="115"/>
      <c r="N3" s="115"/>
      <c r="O3" s="115"/>
      <c r="P3" s="115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1:30">
      <c r="A4" s="115" t="s">
        <v>120</v>
      </c>
      <c r="B4" s="115"/>
      <c r="C4" s="115"/>
      <c r="D4" s="76"/>
      <c r="E4" s="76"/>
      <c r="F4" s="76"/>
      <c r="G4" s="76"/>
      <c r="H4" s="116"/>
      <c r="I4" s="116"/>
      <c r="J4" s="116"/>
      <c r="K4" s="115"/>
      <c r="L4" s="115"/>
      <c r="M4" s="115"/>
      <c r="N4" s="115"/>
      <c r="O4" s="115"/>
      <c r="P4" s="115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1:30">
      <c r="A5" s="115"/>
      <c r="B5" s="115"/>
      <c r="C5" s="115"/>
      <c r="D5" s="76"/>
      <c r="E5" s="76"/>
      <c r="F5" s="76"/>
      <c r="G5" s="76"/>
      <c r="H5" s="116"/>
      <c r="I5" s="116"/>
      <c r="J5" s="116"/>
      <c r="K5" s="115"/>
      <c r="L5" s="115"/>
      <c r="M5" s="115"/>
      <c r="N5" s="115"/>
      <c r="O5" s="115"/>
      <c r="P5" s="115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</row>
    <row r="6" spans="1:30">
      <c r="A6" s="115"/>
      <c r="B6" s="115"/>
      <c r="C6" s="115"/>
      <c r="D6" s="76"/>
      <c r="E6" s="76"/>
      <c r="F6" s="76"/>
      <c r="G6" s="76"/>
      <c r="H6" s="116"/>
      <c r="I6" s="116"/>
      <c r="J6" s="116"/>
      <c r="K6" s="115"/>
      <c r="L6" s="115"/>
      <c r="M6" s="115"/>
      <c r="N6" s="115"/>
      <c r="O6" s="115"/>
      <c r="P6" s="115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 spans="1:30">
      <c r="A7" s="115"/>
      <c r="B7" s="115"/>
      <c r="C7" s="115"/>
      <c r="D7" s="76"/>
      <c r="E7" s="76"/>
      <c r="F7" s="76"/>
      <c r="G7" s="76"/>
      <c r="H7" s="116"/>
      <c r="I7" s="116"/>
      <c r="J7" s="116"/>
      <c r="K7" s="115"/>
      <c r="L7" s="115"/>
      <c r="M7" s="115"/>
      <c r="N7" s="115"/>
      <c r="O7" s="115"/>
      <c r="P7" s="115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</row>
    <row r="8" spans="1:30">
      <c r="A8" s="115" t="s">
        <v>121</v>
      </c>
      <c r="B8" s="115"/>
      <c r="C8" s="115"/>
      <c r="D8" s="76"/>
      <c r="E8" s="76"/>
      <c r="F8" s="76"/>
      <c r="G8" s="76"/>
      <c r="H8" s="116"/>
      <c r="I8" s="116"/>
      <c r="J8" s="116"/>
      <c r="K8" s="115"/>
      <c r="L8" s="115"/>
      <c r="M8" s="115"/>
      <c r="N8" s="115"/>
      <c r="O8" s="115"/>
      <c r="P8" s="115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</row>
    <row r="9" spans="1:30">
      <c r="A9" s="115" t="s">
        <v>122</v>
      </c>
      <c r="B9" s="115"/>
      <c r="C9" s="115"/>
      <c r="D9" s="76"/>
      <c r="E9" s="76"/>
      <c r="F9" s="76"/>
      <c r="G9" s="76"/>
      <c r="H9" s="116"/>
      <c r="I9" s="116"/>
      <c r="J9" s="116"/>
      <c r="K9" s="115"/>
      <c r="L9" s="115"/>
      <c r="M9" s="115"/>
      <c r="N9" s="115"/>
      <c r="O9" s="115"/>
      <c r="P9" s="115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</row>
    <row r="10" spans="1:30">
      <c r="A10" s="115" t="s">
        <v>123</v>
      </c>
      <c r="B10" s="115"/>
      <c r="C10" s="115"/>
      <c r="D10" s="76"/>
      <c r="E10" s="76"/>
      <c r="F10" s="76"/>
      <c r="G10" s="76"/>
      <c r="H10" s="116"/>
      <c r="I10" s="116"/>
      <c r="J10" s="116"/>
      <c r="K10" s="115"/>
      <c r="L10" s="115"/>
      <c r="M10" s="115"/>
      <c r="N10" s="115"/>
      <c r="O10" s="115"/>
      <c r="P10" s="115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spans="1:30">
      <c r="A11" s="115"/>
      <c r="B11" s="115"/>
      <c r="C11" s="115"/>
      <c r="D11" s="76"/>
      <c r="E11" s="76"/>
      <c r="F11" s="76"/>
      <c r="G11" s="76"/>
      <c r="H11" s="116"/>
      <c r="I11" s="116"/>
      <c r="J11" s="116"/>
      <c r="K11" s="115"/>
      <c r="L11" s="115"/>
      <c r="M11" s="115"/>
      <c r="N11" s="115"/>
      <c r="O11" s="115"/>
      <c r="P11" s="115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</row>
    <row r="12" spans="1:30">
      <c r="A12" s="76"/>
      <c r="B12" s="76"/>
      <c r="C12" s="76"/>
      <c r="D12" s="76"/>
      <c r="E12" s="76"/>
      <c r="F12" s="76"/>
      <c r="G12" s="76"/>
      <c r="H12" s="116"/>
      <c r="I12" s="116"/>
      <c r="J12" s="116"/>
      <c r="K12" s="115"/>
      <c r="L12" s="115"/>
      <c r="M12" s="115"/>
      <c r="N12" s="115"/>
      <c r="O12" s="115"/>
      <c r="P12" s="115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</row>
    <row r="13" spans="1:30">
      <c r="A13" s="115"/>
      <c r="B13" s="115"/>
      <c r="C13" s="115"/>
      <c r="D13" s="115"/>
      <c r="E13" s="115"/>
      <c r="F13" s="115"/>
      <c r="G13" s="117" t="s">
        <v>116</v>
      </c>
      <c r="H13" s="211" t="s">
        <v>124</v>
      </c>
      <c r="I13" s="212"/>
      <c r="J13" s="213"/>
      <c r="K13" s="210" t="s">
        <v>125</v>
      </c>
      <c r="L13" s="209"/>
      <c r="M13" s="210" t="s">
        <v>126</v>
      </c>
      <c r="N13" s="209"/>
      <c r="O13" s="210" t="s">
        <v>127</v>
      </c>
      <c r="P13" s="209"/>
      <c r="Q13" s="210" t="s">
        <v>128</v>
      </c>
      <c r="R13" s="209"/>
      <c r="S13" s="76"/>
      <c r="T13" s="208" t="s">
        <v>129</v>
      </c>
      <c r="U13" s="209"/>
      <c r="V13" s="76"/>
      <c r="W13" s="76"/>
      <c r="X13" s="76"/>
      <c r="Y13" s="76"/>
      <c r="Z13" s="76"/>
      <c r="AA13" s="76"/>
      <c r="AB13" s="76"/>
      <c r="AC13" s="76"/>
      <c r="AD13" s="76"/>
    </row>
    <row r="14" spans="1:30">
      <c r="A14" s="118" t="s">
        <v>130</v>
      </c>
      <c r="B14" s="118" t="s">
        <v>116</v>
      </c>
      <c r="C14" s="118" t="s">
        <v>116</v>
      </c>
      <c r="D14" s="119" t="s">
        <v>116</v>
      </c>
      <c r="E14" s="120" t="s">
        <v>116</v>
      </c>
      <c r="F14" s="120" t="s">
        <v>116</v>
      </c>
      <c r="G14" s="121" t="s">
        <v>131</v>
      </c>
      <c r="H14" s="122" t="s">
        <v>132</v>
      </c>
      <c r="I14" s="122" t="s">
        <v>116</v>
      </c>
      <c r="J14" s="123" t="s">
        <v>116</v>
      </c>
      <c r="K14" s="122" t="s">
        <v>133</v>
      </c>
      <c r="L14" s="123" t="s">
        <v>116</v>
      </c>
      <c r="M14" s="122" t="s">
        <v>134</v>
      </c>
      <c r="N14" s="123" t="s">
        <v>116</v>
      </c>
      <c r="O14" s="122" t="s">
        <v>135</v>
      </c>
      <c r="P14" s="123" t="s">
        <v>116</v>
      </c>
      <c r="Q14" s="122" t="s">
        <v>136</v>
      </c>
      <c r="R14" s="123" t="s">
        <v>116</v>
      </c>
      <c r="S14" s="76"/>
      <c r="T14" s="122" t="s">
        <v>137</v>
      </c>
      <c r="U14" s="123" t="s">
        <v>116</v>
      </c>
      <c r="V14" s="76"/>
      <c r="W14" s="76"/>
      <c r="X14" s="76"/>
      <c r="Y14" s="76"/>
      <c r="Z14" s="76"/>
      <c r="AA14" s="76"/>
      <c r="AB14" s="76"/>
      <c r="AC14" s="76"/>
      <c r="AD14" s="76"/>
    </row>
    <row r="15" spans="1:30">
      <c r="A15" s="115" t="s">
        <v>138</v>
      </c>
      <c r="B15" s="115"/>
      <c r="C15" s="115"/>
      <c r="D15" s="124" t="s">
        <v>116</v>
      </c>
      <c r="E15" s="124" t="s">
        <v>116</v>
      </c>
      <c r="F15" s="124" t="s">
        <v>116</v>
      </c>
      <c r="G15" s="125" t="s">
        <v>116</v>
      </c>
      <c r="H15" s="122" t="s">
        <v>139</v>
      </c>
      <c r="I15" s="122"/>
      <c r="J15" s="123" t="s">
        <v>116</v>
      </c>
      <c r="K15" s="122" t="s">
        <v>140</v>
      </c>
      <c r="L15" s="123" t="s">
        <v>116</v>
      </c>
      <c r="M15" s="122" t="s">
        <v>141</v>
      </c>
      <c r="N15" s="123" t="s">
        <v>116</v>
      </c>
      <c r="O15" s="122" t="s">
        <v>142</v>
      </c>
      <c r="P15" s="123" t="s">
        <v>116</v>
      </c>
      <c r="Q15" s="122" t="s">
        <v>143</v>
      </c>
      <c r="R15" s="123" t="s">
        <v>116</v>
      </c>
      <c r="S15" s="76"/>
      <c r="T15" s="122" t="s">
        <v>144</v>
      </c>
      <c r="U15" s="123" t="s">
        <v>116</v>
      </c>
      <c r="V15" s="76"/>
      <c r="W15" s="76"/>
      <c r="X15" s="76"/>
      <c r="Y15" s="76"/>
      <c r="Z15" s="76"/>
      <c r="AA15" s="76"/>
      <c r="AB15" s="76"/>
      <c r="AC15" s="76"/>
      <c r="AD15" s="76"/>
    </row>
    <row r="16" spans="1:30">
      <c r="A16" s="126" t="s">
        <v>145</v>
      </c>
      <c r="B16" s="126" t="s">
        <v>116</v>
      </c>
      <c r="C16" s="126" t="s">
        <v>116</v>
      </c>
      <c r="D16" s="127" t="s">
        <v>116</v>
      </c>
      <c r="E16" s="127" t="s">
        <v>116</v>
      </c>
      <c r="F16" s="127" t="s">
        <v>116</v>
      </c>
      <c r="G16" s="128" t="s">
        <v>116</v>
      </c>
      <c r="H16" s="122" t="s">
        <v>146</v>
      </c>
      <c r="I16" s="122"/>
      <c r="J16" s="123" t="s">
        <v>116</v>
      </c>
      <c r="K16" s="122" t="s">
        <v>147</v>
      </c>
      <c r="L16" s="123" t="s">
        <v>116</v>
      </c>
      <c r="M16" s="122" t="s">
        <v>148</v>
      </c>
      <c r="N16" s="123" t="s">
        <v>116</v>
      </c>
      <c r="O16" s="122" t="s">
        <v>149</v>
      </c>
      <c r="P16" s="123" t="s">
        <v>116</v>
      </c>
      <c r="Q16" s="122" t="s">
        <v>150</v>
      </c>
      <c r="R16" s="123" t="s">
        <v>116</v>
      </c>
      <c r="S16" s="76"/>
      <c r="T16" s="122" t="s">
        <v>150</v>
      </c>
      <c r="U16" s="129" t="s">
        <v>116</v>
      </c>
      <c r="V16" s="76"/>
      <c r="W16" s="76"/>
      <c r="X16" s="76"/>
      <c r="Y16" s="76"/>
      <c r="Z16" s="76"/>
      <c r="AA16" s="76"/>
      <c r="AB16" s="76"/>
      <c r="AC16" s="76"/>
      <c r="AD16" s="76"/>
    </row>
    <row r="17" spans="1:30">
      <c r="A17" s="76"/>
      <c r="B17" s="76"/>
      <c r="C17" s="76"/>
      <c r="D17" s="115" t="s">
        <v>116</v>
      </c>
      <c r="E17" s="115"/>
      <c r="F17" s="115"/>
      <c r="G17" s="76"/>
      <c r="H17" s="130" t="s">
        <v>116</v>
      </c>
      <c r="I17" s="130" t="s">
        <v>116</v>
      </c>
      <c r="J17" s="130" t="s">
        <v>116</v>
      </c>
      <c r="K17" s="131" t="s">
        <v>116</v>
      </c>
      <c r="L17" s="131" t="s">
        <v>116</v>
      </c>
      <c r="M17" s="131" t="s">
        <v>116</v>
      </c>
      <c r="N17" s="131" t="s">
        <v>116</v>
      </c>
      <c r="O17" s="131" t="s">
        <v>116</v>
      </c>
      <c r="P17" s="131" t="s">
        <v>116</v>
      </c>
      <c r="Q17" s="132" t="s">
        <v>116</v>
      </c>
      <c r="R17" s="132" t="s">
        <v>116</v>
      </c>
      <c r="S17" s="76"/>
      <c r="T17" s="132" t="s">
        <v>116</v>
      </c>
      <c r="U17" s="76"/>
      <c r="V17" s="76"/>
      <c r="W17" s="76"/>
      <c r="X17" s="76"/>
      <c r="Y17" s="76"/>
      <c r="Z17" s="76"/>
      <c r="AA17" s="76"/>
      <c r="AB17" s="76"/>
      <c r="AC17" s="76"/>
      <c r="AD17" s="76"/>
    </row>
    <row r="18" spans="1:30">
      <c r="A18" s="115"/>
      <c r="B18" s="115"/>
      <c r="C18" s="115"/>
      <c r="D18" s="115"/>
      <c r="E18" s="115"/>
      <c r="F18" s="115"/>
      <c r="G18" s="76"/>
      <c r="H18" s="116"/>
      <c r="I18" s="116"/>
      <c r="J18" s="116"/>
      <c r="K18" s="115"/>
      <c r="L18" s="115"/>
      <c r="M18" s="115"/>
      <c r="N18" s="115"/>
      <c r="O18" s="115"/>
      <c r="P18" s="115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</row>
    <row r="19" spans="1:30">
      <c r="A19" s="118" t="s">
        <v>116</v>
      </c>
      <c r="B19" s="118" t="s">
        <v>116</v>
      </c>
      <c r="C19" s="118" t="s">
        <v>116</v>
      </c>
      <c r="D19" s="208" t="s">
        <v>151</v>
      </c>
      <c r="E19" s="210"/>
      <c r="F19" s="210"/>
      <c r="G19" s="117" t="s">
        <v>116</v>
      </c>
      <c r="H19" s="211" t="s">
        <v>124</v>
      </c>
      <c r="I19" s="212"/>
      <c r="J19" s="213"/>
      <c r="K19" s="210" t="s">
        <v>125</v>
      </c>
      <c r="L19" s="209"/>
      <c r="M19" s="210" t="s">
        <v>126</v>
      </c>
      <c r="N19" s="209"/>
      <c r="O19" s="210" t="s">
        <v>127</v>
      </c>
      <c r="P19" s="209"/>
      <c r="Q19" s="210" t="s">
        <v>128</v>
      </c>
      <c r="R19" s="209"/>
      <c r="S19" s="76"/>
      <c r="T19" s="208" t="s">
        <v>129</v>
      </c>
      <c r="U19" s="209"/>
      <c r="V19" s="76"/>
      <c r="W19" s="76"/>
      <c r="X19" s="76"/>
      <c r="Y19" s="76"/>
      <c r="Z19" s="76"/>
      <c r="AA19" s="76"/>
      <c r="AB19" s="76"/>
      <c r="AC19" s="76"/>
      <c r="AD19" s="76"/>
    </row>
    <row r="20" spans="1:30">
      <c r="A20" s="133" t="s">
        <v>152</v>
      </c>
      <c r="B20" s="134" t="s">
        <v>116</v>
      </c>
      <c r="C20" s="134" t="s">
        <v>153</v>
      </c>
      <c r="D20" s="135" t="s">
        <v>154</v>
      </c>
      <c r="E20" s="136" t="s">
        <v>116</v>
      </c>
      <c r="F20" s="136" t="s">
        <v>116</v>
      </c>
      <c r="G20" s="133" t="s">
        <v>152</v>
      </c>
      <c r="H20" s="135" t="s">
        <v>155</v>
      </c>
      <c r="I20" s="135" t="s">
        <v>116</v>
      </c>
      <c r="J20" s="137" t="s">
        <v>116</v>
      </c>
      <c r="K20" s="135" t="s">
        <v>156</v>
      </c>
      <c r="L20" s="137" t="s">
        <v>116</v>
      </c>
      <c r="M20" s="135" t="s">
        <v>156</v>
      </c>
      <c r="N20" s="137" t="s">
        <v>116</v>
      </c>
      <c r="O20" s="135" t="s">
        <v>156</v>
      </c>
      <c r="P20" s="137" t="s">
        <v>116</v>
      </c>
      <c r="Q20" s="135" t="s">
        <v>154</v>
      </c>
      <c r="R20" s="137" t="s">
        <v>116</v>
      </c>
      <c r="S20" s="138" t="s">
        <v>153</v>
      </c>
      <c r="T20" s="135" t="s">
        <v>157</v>
      </c>
      <c r="U20" s="137" t="s">
        <v>116</v>
      </c>
      <c r="V20" s="76"/>
      <c r="W20" s="76"/>
      <c r="X20" s="76"/>
      <c r="Y20" s="76"/>
      <c r="Z20" s="76"/>
      <c r="AA20" s="76"/>
      <c r="AB20" s="76"/>
      <c r="AC20" s="76"/>
      <c r="AD20" s="76"/>
    </row>
    <row r="21" spans="1:30">
      <c r="A21" s="133" t="s">
        <v>116</v>
      </c>
      <c r="B21" s="134" t="s">
        <v>116</v>
      </c>
      <c r="C21" s="134" t="s">
        <v>116</v>
      </c>
      <c r="D21" s="139" t="s">
        <v>116</v>
      </c>
      <c r="E21" s="140" t="s">
        <v>116</v>
      </c>
      <c r="F21" s="140" t="s">
        <v>116</v>
      </c>
      <c r="G21" s="133" t="s">
        <v>116</v>
      </c>
      <c r="H21" s="135" t="s">
        <v>116</v>
      </c>
      <c r="I21" s="135" t="s">
        <v>116</v>
      </c>
      <c r="J21" s="137" t="s">
        <v>116</v>
      </c>
      <c r="K21" s="139" t="s">
        <v>116</v>
      </c>
      <c r="L21" s="141" t="s">
        <v>116</v>
      </c>
      <c r="M21" s="139" t="s">
        <v>116</v>
      </c>
      <c r="N21" s="141" t="s">
        <v>116</v>
      </c>
      <c r="O21" s="139" t="s">
        <v>116</v>
      </c>
      <c r="P21" s="141" t="s">
        <v>116</v>
      </c>
      <c r="Q21" s="139" t="s">
        <v>116</v>
      </c>
      <c r="R21" s="141" t="s">
        <v>116</v>
      </c>
      <c r="S21" s="76"/>
      <c r="T21" s="140" t="s">
        <v>116</v>
      </c>
      <c r="U21" s="141" t="s">
        <v>116</v>
      </c>
      <c r="V21" s="76"/>
      <c r="W21" s="76"/>
      <c r="X21" s="76"/>
      <c r="Y21" s="76"/>
      <c r="Z21" s="76"/>
      <c r="AA21" s="76"/>
      <c r="AB21" s="76"/>
      <c r="AC21" s="76"/>
      <c r="AD21" s="76"/>
    </row>
    <row r="22" spans="1:30">
      <c r="A22" s="128" t="s">
        <v>158</v>
      </c>
      <c r="B22" s="142" t="s">
        <v>1</v>
      </c>
      <c r="C22" s="142" t="s">
        <v>0</v>
      </c>
      <c r="D22" s="142" t="s">
        <v>159</v>
      </c>
      <c r="E22" s="142" t="s">
        <v>160</v>
      </c>
      <c r="F22" s="142" t="s">
        <v>161</v>
      </c>
      <c r="G22" s="142" t="s">
        <v>116</v>
      </c>
      <c r="H22" s="129" t="s">
        <v>162</v>
      </c>
      <c r="I22" s="129" t="s">
        <v>163</v>
      </c>
      <c r="J22" s="129" t="s">
        <v>161</v>
      </c>
      <c r="K22" s="142" t="s">
        <v>162</v>
      </c>
      <c r="L22" s="142" t="s">
        <v>161</v>
      </c>
      <c r="M22" s="142" t="s">
        <v>162</v>
      </c>
      <c r="N22" s="142" t="s">
        <v>161</v>
      </c>
      <c r="O22" s="142" t="s">
        <v>162</v>
      </c>
      <c r="P22" s="142" t="s">
        <v>161</v>
      </c>
      <c r="Q22" s="142" t="s">
        <v>162</v>
      </c>
      <c r="R22" s="142" t="s">
        <v>161</v>
      </c>
      <c r="S22" s="76"/>
      <c r="T22" s="128" t="s">
        <v>162</v>
      </c>
      <c r="U22" s="142" t="s">
        <v>161</v>
      </c>
      <c r="V22" s="76"/>
      <c r="W22" s="76"/>
      <c r="X22" s="76"/>
      <c r="Y22" s="76"/>
      <c r="Z22" s="76"/>
      <c r="AA22" s="76"/>
      <c r="AB22" s="76"/>
      <c r="AC22" s="76"/>
      <c r="AD22" s="76"/>
    </row>
    <row r="23" spans="1:30">
      <c r="A23" s="143">
        <v>1</v>
      </c>
      <c r="B23" s="144">
        <v>44643</v>
      </c>
      <c r="C23" s="142" t="s">
        <v>23</v>
      </c>
      <c r="D23" s="142" t="s">
        <v>164</v>
      </c>
      <c r="E23" s="142" t="s">
        <v>165</v>
      </c>
      <c r="F23" s="142" t="s">
        <v>166</v>
      </c>
      <c r="G23" s="142" t="s">
        <v>116</v>
      </c>
      <c r="H23" s="129" t="s">
        <v>167</v>
      </c>
      <c r="I23" s="129" t="s">
        <v>168</v>
      </c>
      <c r="J23" s="129" t="s">
        <v>169</v>
      </c>
      <c r="K23" s="129" t="s">
        <v>170</v>
      </c>
      <c r="L23" s="129" t="s">
        <v>171</v>
      </c>
      <c r="M23" s="129" t="s">
        <v>172</v>
      </c>
      <c r="N23" s="145" t="s">
        <v>173</v>
      </c>
      <c r="O23" s="129" t="s">
        <v>174</v>
      </c>
      <c r="P23" s="129" t="s">
        <v>175</v>
      </c>
      <c r="Q23" s="129" t="s">
        <v>176</v>
      </c>
      <c r="R23" s="145" t="s">
        <v>173</v>
      </c>
      <c r="S23" s="76"/>
      <c r="T23" s="146" t="s">
        <v>177</v>
      </c>
      <c r="U23" s="129" t="s">
        <v>178</v>
      </c>
      <c r="V23" s="76"/>
      <c r="W23" s="76"/>
      <c r="X23" s="76"/>
      <c r="Y23" s="76"/>
      <c r="Z23" s="76"/>
      <c r="AA23" s="76"/>
      <c r="AB23" s="76"/>
      <c r="AC23" s="76"/>
      <c r="AD23" s="76"/>
    </row>
    <row r="24" spans="1:30">
      <c r="A24" s="143">
        <v>2</v>
      </c>
      <c r="B24" s="144">
        <v>44643</v>
      </c>
      <c r="C24" s="142" t="s">
        <v>27</v>
      </c>
      <c r="D24" s="142" t="s">
        <v>179</v>
      </c>
      <c r="E24" s="142" t="s">
        <v>180</v>
      </c>
      <c r="F24" s="142" t="s">
        <v>181</v>
      </c>
      <c r="G24" s="121" t="s">
        <v>116</v>
      </c>
      <c r="H24" s="129" t="s">
        <v>182</v>
      </c>
      <c r="I24" s="129" t="s">
        <v>183</v>
      </c>
      <c r="J24" s="129" t="s">
        <v>184</v>
      </c>
      <c r="K24" s="129" t="s">
        <v>185</v>
      </c>
      <c r="L24" s="129" t="s">
        <v>186</v>
      </c>
      <c r="M24" s="129" t="s">
        <v>172</v>
      </c>
      <c r="N24" s="145" t="s">
        <v>173</v>
      </c>
      <c r="O24" s="129" t="s">
        <v>187</v>
      </c>
      <c r="P24" s="129" t="s">
        <v>188</v>
      </c>
      <c r="Q24" s="129" t="s">
        <v>176</v>
      </c>
      <c r="R24" s="145" t="s">
        <v>173</v>
      </c>
      <c r="S24" s="76"/>
      <c r="T24" s="146" t="s">
        <v>189</v>
      </c>
      <c r="U24" s="129" t="s">
        <v>190</v>
      </c>
      <c r="V24" s="76"/>
      <c r="W24" s="76"/>
      <c r="X24" s="76"/>
      <c r="Y24" s="76"/>
      <c r="Z24" s="76"/>
      <c r="AA24" s="76"/>
      <c r="AB24" s="76"/>
      <c r="AC24" s="76"/>
      <c r="AD24" s="76"/>
    </row>
    <row r="25" spans="1:30">
      <c r="A25" s="143">
        <v>3</v>
      </c>
      <c r="B25" s="144">
        <v>44643</v>
      </c>
      <c r="C25" s="142" t="s">
        <v>30</v>
      </c>
      <c r="D25" s="129" t="s">
        <v>191</v>
      </c>
      <c r="E25" s="142" t="s">
        <v>192</v>
      </c>
      <c r="F25" s="129" t="s">
        <v>193</v>
      </c>
      <c r="G25" s="142" t="s">
        <v>116</v>
      </c>
      <c r="H25" s="129" t="s">
        <v>194</v>
      </c>
      <c r="I25" s="129" t="s">
        <v>195</v>
      </c>
      <c r="J25" s="129" t="s">
        <v>196</v>
      </c>
      <c r="K25" s="129" t="s">
        <v>197</v>
      </c>
      <c r="L25" s="129" t="s">
        <v>198</v>
      </c>
      <c r="M25" s="129" t="s">
        <v>172</v>
      </c>
      <c r="N25" s="145" t="s">
        <v>173</v>
      </c>
      <c r="O25" s="129" t="s">
        <v>199</v>
      </c>
      <c r="P25" s="129" t="s">
        <v>200</v>
      </c>
      <c r="Q25" s="129" t="s">
        <v>176</v>
      </c>
      <c r="R25" s="145" t="s">
        <v>173</v>
      </c>
      <c r="S25" s="76"/>
      <c r="T25" s="146" t="s">
        <v>201</v>
      </c>
      <c r="U25" s="129" t="s">
        <v>202</v>
      </c>
      <c r="V25" s="76"/>
      <c r="W25" s="76"/>
      <c r="X25" s="76"/>
      <c r="Y25" s="76"/>
      <c r="Z25" s="76"/>
      <c r="AA25" s="76"/>
      <c r="AB25" s="76"/>
      <c r="AC25" s="76"/>
      <c r="AD25" s="76"/>
    </row>
    <row r="26" spans="1:30">
      <c r="A26" s="143">
        <v>4</v>
      </c>
      <c r="B26" s="144">
        <v>44643</v>
      </c>
      <c r="C26" s="142" t="s">
        <v>32</v>
      </c>
      <c r="D26" s="129" t="s">
        <v>203</v>
      </c>
      <c r="E26" s="142" t="s">
        <v>204</v>
      </c>
      <c r="F26" s="129" t="s">
        <v>205</v>
      </c>
      <c r="G26" s="142" t="s">
        <v>116</v>
      </c>
      <c r="H26" s="129" t="s">
        <v>206</v>
      </c>
      <c r="I26" s="129" t="s">
        <v>207</v>
      </c>
      <c r="J26" s="129" t="s">
        <v>208</v>
      </c>
      <c r="K26" s="129" t="s">
        <v>209</v>
      </c>
      <c r="L26" s="129" t="s">
        <v>210</v>
      </c>
      <c r="M26" s="129" t="s">
        <v>172</v>
      </c>
      <c r="N26" s="145" t="s">
        <v>173</v>
      </c>
      <c r="O26" s="129" t="s">
        <v>211</v>
      </c>
      <c r="P26" s="129" t="s">
        <v>212</v>
      </c>
      <c r="Q26" s="129" t="s">
        <v>176</v>
      </c>
      <c r="R26" s="145" t="s">
        <v>173</v>
      </c>
      <c r="S26" s="76"/>
      <c r="T26" s="146" t="s">
        <v>213</v>
      </c>
      <c r="U26" s="129" t="s">
        <v>214</v>
      </c>
      <c r="V26" s="76"/>
      <c r="W26" s="76"/>
      <c r="X26" s="76"/>
      <c r="Y26" s="76"/>
      <c r="Z26" s="76"/>
      <c r="AA26" s="76"/>
      <c r="AB26" s="76"/>
      <c r="AC26" s="76"/>
      <c r="AD26" s="76"/>
    </row>
    <row r="27" spans="1:30">
      <c r="A27" s="143">
        <v>5</v>
      </c>
      <c r="B27" s="144">
        <v>44643</v>
      </c>
      <c r="C27" s="142" t="s">
        <v>34</v>
      </c>
      <c r="D27" s="129" t="s">
        <v>215</v>
      </c>
      <c r="E27" s="142" t="s">
        <v>216</v>
      </c>
      <c r="F27" s="129" t="s">
        <v>217</v>
      </c>
      <c r="G27" s="142" t="s">
        <v>116</v>
      </c>
      <c r="H27" s="129" t="s">
        <v>218</v>
      </c>
      <c r="I27" s="129" t="s">
        <v>219</v>
      </c>
      <c r="J27" s="129" t="s">
        <v>220</v>
      </c>
      <c r="K27" s="129" t="s">
        <v>221</v>
      </c>
      <c r="L27" s="129" t="s">
        <v>222</v>
      </c>
      <c r="M27" s="129" t="s">
        <v>172</v>
      </c>
      <c r="N27" s="145" t="s">
        <v>173</v>
      </c>
      <c r="O27" s="129" t="s">
        <v>223</v>
      </c>
      <c r="P27" s="129" t="s">
        <v>224</v>
      </c>
      <c r="Q27" s="129" t="s">
        <v>176</v>
      </c>
      <c r="R27" s="145" t="s">
        <v>173</v>
      </c>
      <c r="S27" s="76"/>
      <c r="T27" s="146" t="s">
        <v>225</v>
      </c>
      <c r="U27" s="129" t="s">
        <v>226</v>
      </c>
      <c r="V27" s="76"/>
      <c r="W27" s="76"/>
      <c r="X27" s="76"/>
      <c r="Y27" s="76"/>
      <c r="Z27" s="76"/>
      <c r="AA27" s="76"/>
      <c r="AB27" s="76"/>
      <c r="AC27" s="76"/>
      <c r="AD27" s="76"/>
    </row>
    <row r="28" spans="1:30">
      <c r="A28" s="143">
        <v>6</v>
      </c>
      <c r="B28" s="144">
        <v>44643</v>
      </c>
      <c r="C28" s="142" t="s">
        <v>35</v>
      </c>
      <c r="D28" s="129" t="s">
        <v>227</v>
      </c>
      <c r="E28" s="142" t="s">
        <v>228</v>
      </c>
      <c r="F28" s="129" t="s">
        <v>229</v>
      </c>
      <c r="G28" s="142" t="s">
        <v>116</v>
      </c>
      <c r="H28" s="129" t="s">
        <v>230</v>
      </c>
      <c r="I28" s="129" t="s">
        <v>231</v>
      </c>
      <c r="J28" s="129" t="s">
        <v>232</v>
      </c>
      <c r="K28" s="129" t="s">
        <v>233</v>
      </c>
      <c r="L28" s="129" t="s">
        <v>234</v>
      </c>
      <c r="M28" s="129" t="s">
        <v>172</v>
      </c>
      <c r="N28" s="145" t="s">
        <v>173</v>
      </c>
      <c r="O28" s="129" t="s">
        <v>235</v>
      </c>
      <c r="P28" s="129" t="s">
        <v>236</v>
      </c>
      <c r="Q28" s="129" t="s">
        <v>176</v>
      </c>
      <c r="R28" s="145" t="s">
        <v>173</v>
      </c>
      <c r="S28" s="76"/>
      <c r="T28" s="146" t="s">
        <v>237</v>
      </c>
      <c r="U28" s="129" t="s">
        <v>238</v>
      </c>
      <c r="V28" s="76"/>
      <c r="W28" s="76"/>
      <c r="X28" s="76"/>
      <c r="Y28" s="76"/>
      <c r="Z28" s="76"/>
      <c r="AA28" s="76"/>
      <c r="AB28" s="76"/>
      <c r="AC28" s="76"/>
      <c r="AD28" s="76"/>
    </row>
    <row r="29" spans="1:30">
      <c r="A29" s="143">
        <v>7</v>
      </c>
      <c r="B29" s="144">
        <v>44643</v>
      </c>
      <c r="C29" s="142" t="s">
        <v>36</v>
      </c>
      <c r="D29" s="129" t="s">
        <v>239</v>
      </c>
      <c r="E29" s="142" t="s">
        <v>240</v>
      </c>
      <c r="F29" s="129" t="s">
        <v>241</v>
      </c>
      <c r="G29" s="142" t="s">
        <v>116</v>
      </c>
      <c r="H29" s="129" t="s">
        <v>242</v>
      </c>
      <c r="I29" s="129" t="s">
        <v>243</v>
      </c>
      <c r="J29" s="129" t="s">
        <v>244</v>
      </c>
      <c r="K29" s="129" t="s">
        <v>245</v>
      </c>
      <c r="L29" s="129" t="s">
        <v>246</v>
      </c>
      <c r="M29" s="129" t="s">
        <v>172</v>
      </c>
      <c r="N29" s="145" t="s">
        <v>173</v>
      </c>
      <c r="O29" s="129" t="s">
        <v>235</v>
      </c>
      <c r="P29" s="129" t="s">
        <v>247</v>
      </c>
      <c r="Q29" s="129" t="s">
        <v>176</v>
      </c>
      <c r="R29" s="145" t="s">
        <v>173</v>
      </c>
      <c r="S29" s="76"/>
      <c r="T29" s="146" t="s">
        <v>248</v>
      </c>
      <c r="U29" s="129" t="s">
        <v>249</v>
      </c>
      <c r="V29" s="76"/>
      <c r="W29" s="76"/>
      <c r="X29" s="76"/>
      <c r="Y29" s="76"/>
      <c r="Z29" s="76"/>
      <c r="AA29" s="76"/>
      <c r="AB29" s="76"/>
      <c r="AC29" s="76"/>
      <c r="AD29" s="76"/>
    </row>
    <row r="30" spans="1:30">
      <c r="A30" s="143">
        <v>8</v>
      </c>
      <c r="B30" s="144">
        <v>44643</v>
      </c>
      <c r="C30" s="142" t="s">
        <v>37</v>
      </c>
      <c r="D30" s="129" t="s">
        <v>250</v>
      </c>
      <c r="E30" s="142" t="s">
        <v>251</v>
      </c>
      <c r="F30" s="129" t="s">
        <v>252</v>
      </c>
      <c r="G30" s="142" t="s">
        <v>116</v>
      </c>
      <c r="H30" s="129" t="s">
        <v>253</v>
      </c>
      <c r="I30" s="129" t="s">
        <v>254</v>
      </c>
      <c r="J30" s="129" t="s">
        <v>255</v>
      </c>
      <c r="K30" s="129" t="s">
        <v>256</v>
      </c>
      <c r="L30" s="129" t="s">
        <v>257</v>
      </c>
      <c r="M30" s="129" t="s">
        <v>172</v>
      </c>
      <c r="N30" s="145" t="s">
        <v>173</v>
      </c>
      <c r="O30" s="129" t="s">
        <v>209</v>
      </c>
      <c r="P30" s="129" t="s">
        <v>258</v>
      </c>
      <c r="Q30" s="129" t="s">
        <v>176</v>
      </c>
      <c r="R30" s="145" t="s">
        <v>173</v>
      </c>
      <c r="S30" s="76"/>
      <c r="T30" s="146" t="s">
        <v>259</v>
      </c>
      <c r="U30" s="129" t="s">
        <v>260</v>
      </c>
      <c r="V30" s="76"/>
      <c r="W30" s="76"/>
      <c r="X30" s="76"/>
      <c r="Y30" s="76"/>
      <c r="Z30" s="76"/>
      <c r="AA30" s="76"/>
      <c r="AB30" s="76"/>
      <c r="AC30" s="76"/>
      <c r="AD30" s="76"/>
    </row>
    <row r="31" spans="1:30">
      <c r="A31" s="143">
        <v>9</v>
      </c>
      <c r="B31" s="144">
        <v>44643</v>
      </c>
      <c r="C31" s="142" t="s">
        <v>38</v>
      </c>
      <c r="D31" s="129" t="s">
        <v>261</v>
      </c>
      <c r="E31" s="142" t="s">
        <v>262</v>
      </c>
      <c r="F31" s="129" t="s">
        <v>263</v>
      </c>
      <c r="G31" s="142" t="s">
        <v>116</v>
      </c>
      <c r="H31" s="129" t="s">
        <v>264</v>
      </c>
      <c r="I31" s="129" t="s">
        <v>265</v>
      </c>
      <c r="J31" s="129" t="s">
        <v>266</v>
      </c>
      <c r="K31" s="129" t="s">
        <v>267</v>
      </c>
      <c r="L31" s="129" t="s">
        <v>268</v>
      </c>
      <c r="M31" s="129" t="s">
        <v>172</v>
      </c>
      <c r="N31" s="145" t="s">
        <v>173</v>
      </c>
      <c r="O31" s="129" t="s">
        <v>155</v>
      </c>
      <c r="P31" s="129" t="s">
        <v>269</v>
      </c>
      <c r="Q31" s="129" t="s">
        <v>176</v>
      </c>
      <c r="R31" s="145" t="s">
        <v>173</v>
      </c>
      <c r="S31" s="76"/>
      <c r="T31" s="146" t="s">
        <v>270</v>
      </c>
      <c r="U31" s="129" t="s">
        <v>271</v>
      </c>
      <c r="V31" s="76"/>
      <c r="W31" s="76"/>
      <c r="X31" s="76"/>
      <c r="Y31" s="76"/>
      <c r="Z31" s="76"/>
      <c r="AA31" s="76"/>
      <c r="AB31" s="76"/>
      <c r="AC31" s="76"/>
      <c r="AD31" s="76"/>
    </row>
    <row r="32" spans="1:30">
      <c r="A32" s="143">
        <v>10</v>
      </c>
      <c r="B32" s="144">
        <v>44643</v>
      </c>
      <c r="C32" s="142" t="s">
        <v>39</v>
      </c>
      <c r="D32" s="129" t="s">
        <v>272</v>
      </c>
      <c r="E32" s="142" t="s">
        <v>273</v>
      </c>
      <c r="F32" s="129" t="s">
        <v>274</v>
      </c>
      <c r="G32" s="142" t="s">
        <v>116</v>
      </c>
      <c r="H32" s="129" t="s">
        <v>275</v>
      </c>
      <c r="I32" s="129" t="s">
        <v>276</v>
      </c>
      <c r="J32" s="129" t="s">
        <v>277</v>
      </c>
      <c r="K32" s="129" t="s">
        <v>278</v>
      </c>
      <c r="L32" s="129" t="s">
        <v>279</v>
      </c>
      <c r="M32" s="129" t="s">
        <v>280</v>
      </c>
      <c r="N32" s="129" t="s">
        <v>281</v>
      </c>
      <c r="O32" s="129" t="s">
        <v>282</v>
      </c>
      <c r="P32" s="129" t="s">
        <v>283</v>
      </c>
      <c r="Q32" s="129" t="s">
        <v>176</v>
      </c>
      <c r="R32" s="145" t="s">
        <v>173</v>
      </c>
      <c r="S32" s="76"/>
      <c r="T32" s="146" t="s">
        <v>284</v>
      </c>
      <c r="U32" s="129" t="s">
        <v>285</v>
      </c>
      <c r="V32" s="76"/>
      <c r="W32" s="76"/>
      <c r="X32" s="76"/>
      <c r="Y32" s="76"/>
      <c r="Z32" s="76"/>
      <c r="AA32" s="76"/>
      <c r="AB32" s="76"/>
      <c r="AC32" s="76"/>
      <c r="AD32" s="76"/>
    </row>
    <row r="33" spans="1:30">
      <c r="A33" s="143">
        <v>11</v>
      </c>
      <c r="B33" s="144">
        <v>44643</v>
      </c>
      <c r="C33" s="142" t="s">
        <v>40</v>
      </c>
      <c r="D33" s="142" t="s">
        <v>286</v>
      </c>
      <c r="E33" s="142" t="s">
        <v>287</v>
      </c>
      <c r="F33" s="142" t="s">
        <v>288</v>
      </c>
      <c r="G33" s="142" t="s">
        <v>116</v>
      </c>
      <c r="H33" s="129" t="s">
        <v>289</v>
      </c>
      <c r="I33" s="129" t="s">
        <v>290</v>
      </c>
      <c r="J33" s="129" t="s">
        <v>291</v>
      </c>
      <c r="K33" s="129" t="s">
        <v>292</v>
      </c>
      <c r="L33" s="129" t="s">
        <v>293</v>
      </c>
      <c r="M33" s="129" t="s">
        <v>172</v>
      </c>
      <c r="N33" s="145" t="s">
        <v>173</v>
      </c>
      <c r="O33" s="129" t="s">
        <v>294</v>
      </c>
      <c r="P33" s="129" t="s">
        <v>295</v>
      </c>
      <c r="Q33" s="129" t="s">
        <v>176</v>
      </c>
      <c r="R33" s="145" t="s">
        <v>173</v>
      </c>
      <c r="S33" s="76"/>
      <c r="T33" s="146" t="s">
        <v>296</v>
      </c>
      <c r="U33" s="129" t="s">
        <v>297</v>
      </c>
      <c r="V33" s="76"/>
      <c r="W33" s="76"/>
      <c r="X33" s="76"/>
      <c r="Y33" s="76"/>
      <c r="Z33" s="76"/>
      <c r="AA33" s="76"/>
      <c r="AB33" s="76"/>
      <c r="AC33" s="76"/>
      <c r="AD33" s="76"/>
    </row>
    <row r="34" spans="1:30">
      <c r="A34" s="143">
        <v>12</v>
      </c>
      <c r="B34" s="144">
        <v>44643</v>
      </c>
      <c r="C34" s="142" t="s">
        <v>41</v>
      </c>
      <c r="D34" s="142" t="s">
        <v>298</v>
      </c>
      <c r="E34" s="142" t="s">
        <v>299</v>
      </c>
      <c r="F34" s="142" t="s">
        <v>300</v>
      </c>
      <c r="G34" s="121" t="s">
        <v>116</v>
      </c>
      <c r="H34" s="129" t="s">
        <v>301</v>
      </c>
      <c r="I34" s="129" t="s">
        <v>302</v>
      </c>
      <c r="J34" s="129" t="s">
        <v>303</v>
      </c>
      <c r="K34" s="129" t="s">
        <v>304</v>
      </c>
      <c r="L34" s="129" t="s">
        <v>305</v>
      </c>
      <c r="M34" s="129" t="s">
        <v>172</v>
      </c>
      <c r="N34" s="145" t="s">
        <v>173</v>
      </c>
      <c r="O34" s="129" t="s">
        <v>306</v>
      </c>
      <c r="P34" s="129" t="s">
        <v>307</v>
      </c>
      <c r="Q34" s="129" t="s">
        <v>176</v>
      </c>
      <c r="R34" s="145" t="s">
        <v>173</v>
      </c>
      <c r="S34" s="76"/>
      <c r="T34" s="146" t="s">
        <v>308</v>
      </c>
      <c r="U34" s="129" t="s">
        <v>260</v>
      </c>
      <c r="V34" s="76"/>
      <c r="W34" s="76"/>
      <c r="X34" s="76"/>
      <c r="Y34" s="76"/>
      <c r="Z34" s="76"/>
      <c r="AA34" s="76"/>
      <c r="AB34" s="76"/>
      <c r="AC34" s="76"/>
      <c r="AD34" s="76"/>
    </row>
    <row r="35" spans="1:30">
      <c r="A35" s="143">
        <v>13</v>
      </c>
      <c r="B35" s="144">
        <v>44643</v>
      </c>
      <c r="C35" s="142" t="s">
        <v>42</v>
      </c>
      <c r="D35" s="129" t="s">
        <v>309</v>
      </c>
      <c r="E35" s="142" t="s">
        <v>310</v>
      </c>
      <c r="F35" s="129" t="s">
        <v>311</v>
      </c>
      <c r="G35" s="142" t="s">
        <v>116</v>
      </c>
      <c r="H35" s="129" t="s">
        <v>312</v>
      </c>
      <c r="I35" s="129" t="s">
        <v>313</v>
      </c>
      <c r="J35" s="129" t="s">
        <v>314</v>
      </c>
      <c r="K35" s="129" t="s">
        <v>170</v>
      </c>
      <c r="L35" s="129" t="s">
        <v>315</v>
      </c>
      <c r="M35" s="129" t="s">
        <v>172</v>
      </c>
      <c r="N35" s="145" t="s">
        <v>173</v>
      </c>
      <c r="O35" s="129" t="s">
        <v>316</v>
      </c>
      <c r="P35" s="129" t="s">
        <v>317</v>
      </c>
      <c r="Q35" s="129" t="s">
        <v>176</v>
      </c>
      <c r="R35" s="145" t="s">
        <v>173</v>
      </c>
      <c r="S35" s="76"/>
      <c r="T35" s="146" t="s">
        <v>318</v>
      </c>
      <c r="U35" s="129" t="s">
        <v>319</v>
      </c>
      <c r="V35" s="76"/>
      <c r="W35" s="76"/>
      <c r="X35" s="76"/>
      <c r="Y35" s="76"/>
      <c r="Z35" s="76"/>
      <c r="AA35" s="76"/>
      <c r="AB35" s="76"/>
      <c r="AC35" s="76"/>
      <c r="AD35" s="76"/>
    </row>
    <row r="36" spans="1:30">
      <c r="A36" s="143">
        <v>14</v>
      </c>
      <c r="B36" s="144">
        <v>44643</v>
      </c>
      <c r="C36" s="142" t="s">
        <v>43</v>
      </c>
      <c r="D36" s="129" t="s">
        <v>320</v>
      </c>
      <c r="E36" s="142" t="s">
        <v>321</v>
      </c>
      <c r="F36" s="129" t="s">
        <v>322</v>
      </c>
      <c r="G36" s="142" t="s">
        <v>116</v>
      </c>
      <c r="H36" s="129" t="s">
        <v>323</v>
      </c>
      <c r="I36" s="129" t="s">
        <v>324</v>
      </c>
      <c r="J36" s="129" t="s">
        <v>325</v>
      </c>
      <c r="K36" s="129" t="s">
        <v>326</v>
      </c>
      <c r="L36" s="129" t="s">
        <v>327</v>
      </c>
      <c r="M36" s="129" t="s">
        <v>172</v>
      </c>
      <c r="N36" s="145" t="s">
        <v>173</v>
      </c>
      <c r="O36" s="129" t="s">
        <v>328</v>
      </c>
      <c r="P36" s="129" t="s">
        <v>329</v>
      </c>
      <c r="Q36" s="129" t="s">
        <v>176</v>
      </c>
      <c r="R36" s="145" t="s">
        <v>173</v>
      </c>
      <c r="S36" s="76"/>
      <c r="T36" s="146" t="s">
        <v>330</v>
      </c>
      <c r="U36" s="129" t="s">
        <v>331</v>
      </c>
      <c r="V36" s="76"/>
      <c r="W36" s="76"/>
      <c r="X36" s="76"/>
      <c r="Y36" s="76"/>
      <c r="Z36" s="76"/>
      <c r="AA36" s="76"/>
      <c r="AB36" s="76"/>
      <c r="AC36" s="76"/>
      <c r="AD36" s="76"/>
    </row>
    <row r="37" spans="1:30">
      <c r="A37" s="143">
        <v>15</v>
      </c>
      <c r="B37" s="144">
        <v>44643</v>
      </c>
      <c r="C37" s="142" t="s">
        <v>44</v>
      </c>
      <c r="D37" s="129" t="s">
        <v>332</v>
      </c>
      <c r="E37" s="142" t="s">
        <v>333</v>
      </c>
      <c r="F37" s="129" t="s">
        <v>334</v>
      </c>
      <c r="G37" s="142" t="s">
        <v>116</v>
      </c>
      <c r="H37" s="129" t="s">
        <v>335</v>
      </c>
      <c r="I37" s="129" t="s">
        <v>336</v>
      </c>
      <c r="J37" s="129" t="s">
        <v>337</v>
      </c>
      <c r="K37" s="129" t="s">
        <v>209</v>
      </c>
      <c r="L37" s="129" t="s">
        <v>338</v>
      </c>
      <c r="M37" s="129" t="s">
        <v>172</v>
      </c>
      <c r="N37" s="145" t="s">
        <v>173</v>
      </c>
      <c r="O37" s="129" t="s">
        <v>339</v>
      </c>
      <c r="P37" s="129" t="s">
        <v>340</v>
      </c>
      <c r="Q37" s="129" t="s">
        <v>176</v>
      </c>
      <c r="R37" s="145" t="s">
        <v>173</v>
      </c>
      <c r="S37" s="76"/>
      <c r="T37" s="146" t="s">
        <v>341</v>
      </c>
      <c r="U37" s="129" t="s">
        <v>342</v>
      </c>
      <c r="V37" s="76"/>
      <c r="W37" s="76"/>
      <c r="X37" s="76"/>
      <c r="Y37" s="76"/>
      <c r="Z37" s="76"/>
      <c r="AA37" s="76"/>
      <c r="AB37" s="76"/>
      <c r="AC37" s="76"/>
      <c r="AD37" s="76"/>
    </row>
    <row r="38" spans="1:30">
      <c r="A38" s="143">
        <v>16</v>
      </c>
      <c r="B38" s="144">
        <v>44643</v>
      </c>
      <c r="C38" s="142" t="s">
        <v>68</v>
      </c>
      <c r="D38" s="129" t="s">
        <v>343</v>
      </c>
      <c r="E38" s="142" t="s">
        <v>344</v>
      </c>
      <c r="F38" s="129" t="s">
        <v>345</v>
      </c>
      <c r="G38" s="142" t="s">
        <v>116</v>
      </c>
      <c r="H38" s="129" t="s">
        <v>346</v>
      </c>
      <c r="I38" s="129" t="s">
        <v>347</v>
      </c>
      <c r="J38" s="129" t="s">
        <v>348</v>
      </c>
      <c r="K38" s="129" t="s">
        <v>349</v>
      </c>
      <c r="L38" s="129" t="s">
        <v>350</v>
      </c>
      <c r="M38" s="129" t="s">
        <v>351</v>
      </c>
      <c r="N38" s="129" t="s">
        <v>352</v>
      </c>
      <c r="O38" s="129" t="s">
        <v>353</v>
      </c>
      <c r="P38" s="129" t="s">
        <v>354</v>
      </c>
      <c r="Q38" s="129" t="s">
        <v>176</v>
      </c>
      <c r="R38" s="145" t="s">
        <v>173</v>
      </c>
      <c r="S38" s="76"/>
      <c r="T38" s="146" t="s">
        <v>355</v>
      </c>
      <c r="U38" s="129" t="s">
        <v>356</v>
      </c>
      <c r="V38" s="76"/>
      <c r="W38" s="76"/>
      <c r="X38" s="76"/>
      <c r="Y38" s="76"/>
      <c r="Z38" s="76"/>
      <c r="AA38" s="76"/>
      <c r="AB38" s="76"/>
      <c r="AC38" s="76"/>
      <c r="AD38" s="76"/>
    </row>
    <row r="39" spans="1:30">
      <c r="A39" s="143">
        <v>17</v>
      </c>
      <c r="B39" s="144">
        <v>44643</v>
      </c>
      <c r="C39" s="142" t="s">
        <v>69</v>
      </c>
      <c r="D39" s="129" t="s">
        <v>357</v>
      </c>
      <c r="E39" s="142" t="s">
        <v>358</v>
      </c>
      <c r="F39" s="145" t="s">
        <v>173</v>
      </c>
      <c r="G39" s="142" t="s">
        <v>116</v>
      </c>
      <c r="H39" s="129" t="s">
        <v>359</v>
      </c>
      <c r="I39" s="129" t="s">
        <v>360</v>
      </c>
      <c r="J39" s="145" t="s">
        <v>173</v>
      </c>
      <c r="K39" s="129" t="s">
        <v>172</v>
      </c>
      <c r="L39" s="145" t="s">
        <v>173</v>
      </c>
      <c r="M39" s="129" t="s">
        <v>172</v>
      </c>
      <c r="N39" s="145" t="s">
        <v>173</v>
      </c>
      <c r="O39" s="129" t="s">
        <v>172</v>
      </c>
      <c r="P39" s="145" t="s">
        <v>173</v>
      </c>
      <c r="Q39" s="129" t="s">
        <v>176</v>
      </c>
      <c r="R39" s="145" t="s">
        <v>173</v>
      </c>
      <c r="S39" s="76"/>
      <c r="T39" s="146" t="s">
        <v>361</v>
      </c>
      <c r="U39" s="145" t="s">
        <v>173</v>
      </c>
      <c r="V39" s="76"/>
      <c r="W39" s="76"/>
      <c r="X39" s="76"/>
      <c r="Y39" s="76"/>
      <c r="Z39" s="76"/>
      <c r="AA39" s="76"/>
      <c r="AB39" s="76"/>
      <c r="AC39" s="76"/>
      <c r="AD39" s="76"/>
    </row>
    <row r="40" spans="1:30">
      <c r="A40" s="143">
        <v>18</v>
      </c>
      <c r="B40" s="144">
        <v>44643</v>
      </c>
      <c r="C40" s="142" t="s">
        <v>70</v>
      </c>
      <c r="D40" s="129" t="s">
        <v>362</v>
      </c>
      <c r="E40" s="142" t="s">
        <v>363</v>
      </c>
      <c r="F40" s="129" t="s">
        <v>364</v>
      </c>
      <c r="G40" s="142" t="s">
        <v>116</v>
      </c>
      <c r="H40" s="129" t="s">
        <v>365</v>
      </c>
      <c r="I40" s="129" t="s">
        <v>366</v>
      </c>
      <c r="J40" s="129" t="s">
        <v>367</v>
      </c>
      <c r="K40" s="129" t="s">
        <v>368</v>
      </c>
      <c r="L40" s="129" t="s">
        <v>249</v>
      </c>
      <c r="M40" s="129" t="s">
        <v>369</v>
      </c>
      <c r="N40" s="129" t="s">
        <v>370</v>
      </c>
      <c r="O40" s="129" t="s">
        <v>371</v>
      </c>
      <c r="P40" s="129" t="s">
        <v>372</v>
      </c>
      <c r="Q40" s="129" t="s">
        <v>176</v>
      </c>
      <c r="R40" s="145" t="s">
        <v>173</v>
      </c>
      <c r="S40" s="76"/>
      <c r="T40" s="146" t="s">
        <v>361</v>
      </c>
      <c r="U40" s="145" t="s">
        <v>173</v>
      </c>
      <c r="V40" s="76"/>
      <c r="W40" s="76"/>
      <c r="X40" s="76"/>
      <c r="Y40" s="76"/>
      <c r="Z40" s="76"/>
      <c r="AA40" s="76"/>
      <c r="AB40" s="76"/>
      <c r="AC40" s="76"/>
      <c r="AD40" s="76"/>
    </row>
    <row r="41" spans="1:30">
      <c r="A41" s="143">
        <v>19</v>
      </c>
      <c r="B41" s="144">
        <v>44643</v>
      </c>
      <c r="C41" s="142" t="s">
        <v>71</v>
      </c>
      <c r="D41" s="129" t="s">
        <v>373</v>
      </c>
      <c r="E41" s="142" t="s">
        <v>374</v>
      </c>
      <c r="F41" s="129" t="s">
        <v>375</v>
      </c>
      <c r="G41" s="142" t="s">
        <v>116</v>
      </c>
      <c r="H41" s="129" t="s">
        <v>376</v>
      </c>
      <c r="I41" s="129" t="s">
        <v>377</v>
      </c>
      <c r="J41" s="129" t="s">
        <v>378</v>
      </c>
      <c r="K41" s="129" t="s">
        <v>379</v>
      </c>
      <c r="L41" s="129" t="s">
        <v>380</v>
      </c>
      <c r="M41" s="129" t="s">
        <v>381</v>
      </c>
      <c r="N41" s="129" t="s">
        <v>382</v>
      </c>
      <c r="O41" s="129" t="s">
        <v>351</v>
      </c>
      <c r="P41" s="129" t="s">
        <v>383</v>
      </c>
      <c r="Q41" s="129" t="s">
        <v>176</v>
      </c>
      <c r="R41" s="145" t="s">
        <v>173</v>
      </c>
      <c r="S41" s="76"/>
      <c r="T41" s="146" t="s">
        <v>384</v>
      </c>
      <c r="U41" s="129" t="s">
        <v>385</v>
      </c>
      <c r="V41" s="76"/>
      <c r="W41" s="76"/>
      <c r="X41" s="76"/>
      <c r="Y41" s="76"/>
      <c r="Z41" s="76"/>
      <c r="AA41" s="76"/>
      <c r="AB41" s="76"/>
      <c r="AC41" s="76"/>
      <c r="AD41" s="76"/>
    </row>
    <row r="42" spans="1:30">
      <c r="A42" s="143">
        <v>20</v>
      </c>
      <c r="B42" s="144">
        <v>44643</v>
      </c>
      <c r="C42" s="142" t="s">
        <v>72</v>
      </c>
      <c r="D42" s="129" t="s">
        <v>386</v>
      </c>
      <c r="E42" s="142" t="s">
        <v>387</v>
      </c>
      <c r="F42" s="129" t="s">
        <v>166</v>
      </c>
      <c r="G42" s="142" t="s">
        <v>116</v>
      </c>
      <c r="H42" s="129" t="s">
        <v>388</v>
      </c>
      <c r="I42" s="129" t="s">
        <v>389</v>
      </c>
      <c r="J42" s="129" t="s">
        <v>390</v>
      </c>
      <c r="K42" s="129" t="s">
        <v>391</v>
      </c>
      <c r="L42" s="129" t="s">
        <v>392</v>
      </c>
      <c r="M42" s="129" t="s">
        <v>393</v>
      </c>
      <c r="N42" s="129" t="s">
        <v>394</v>
      </c>
      <c r="O42" s="129" t="s">
        <v>172</v>
      </c>
      <c r="P42" s="145" t="s">
        <v>173</v>
      </c>
      <c r="Q42" s="129" t="s">
        <v>176</v>
      </c>
      <c r="R42" s="145" t="s">
        <v>173</v>
      </c>
      <c r="S42" s="76"/>
      <c r="T42" s="146" t="s">
        <v>395</v>
      </c>
      <c r="U42" s="129" t="s">
        <v>396</v>
      </c>
      <c r="V42" s="76"/>
      <c r="W42" s="76"/>
      <c r="X42" s="76"/>
      <c r="Y42" s="76"/>
      <c r="Z42" s="76"/>
      <c r="AA42" s="76"/>
      <c r="AB42" s="76"/>
      <c r="AC42" s="76"/>
      <c r="AD42" s="76"/>
    </row>
    <row r="43" spans="1:30">
      <c r="A43" s="143">
        <v>21</v>
      </c>
      <c r="B43" s="144">
        <v>44643</v>
      </c>
      <c r="C43" s="142" t="s">
        <v>73</v>
      </c>
      <c r="D43" s="142" t="s">
        <v>397</v>
      </c>
      <c r="E43" s="142" t="s">
        <v>398</v>
      </c>
      <c r="F43" s="142" t="s">
        <v>399</v>
      </c>
      <c r="G43" s="142" t="s">
        <v>116</v>
      </c>
      <c r="H43" s="129" t="s">
        <v>400</v>
      </c>
      <c r="I43" s="129" t="s">
        <v>401</v>
      </c>
      <c r="J43" s="129" t="s">
        <v>402</v>
      </c>
      <c r="K43" s="129" t="s">
        <v>403</v>
      </c>
      <c r="L43" s="129" t="s">
        <v>404</v>
      </c>
      <c r="M43" s="129" t="s">
        <v>405</v>
      </c>
      <c r="N43" s="129" t="s">
        <v>406</v>
      </c>
      <c r="O43" s="129" t="s">
        <v>407</v>
      </c>
      <c r="P43" s="129" t="s">
        <v>408</v>
      </c>
      <c r="Q43" s="129" t="s">
        <v>176</v>
      </c>
      <c r="R43" s="145" t="s">
        <v>173</v>
      </c>
      <c r="S43" s="76"/>
      <c r="T43" s="146" t="s">
        <v>282</v>
      </c>
      <c r="U43" s="129" t="s">
        <v>409</v>
      </c>
      <c r="V43" s="76"/>
      <c r="W43" s="76"/>
      <c r="X43" s="76"/>
      <c r="Y43" s="76"/>
      <c r="Z43" s="76"/>
      <c r="AA43" s="76"/>
      <c r="AB43" s="76"/>
      <c r="AC43" s="76"/>
      <c r="AD43" s="76"/>
    </row>
    <row r="44" spans="1:30">
      <c r="A44" s="143">
        <v>22</v>
      </c>
      <c r="B44" s="144">
        <v>44643</v>
      </c>
      <c r="C44" s="142" t="s">
        <v>74</v>
      </c>
      <c r="D44" s="142" t="s">
        <v>410</v>
      </c>
      <c r="E44" s="142" t="s">
        <v>411</v>
      </c>
      <c r="F44" s="142" t="s">
        <v>412</v>
      </c>
      <c r="G44" s="121" t="s">
        <v>116</v>
      </c>
      <c r="H44" s="129" t="s">
        <v>413</v>
      </c>
      <c r="I44" s="129" t="s">
        <v>414</v>
      </c>
      <c r="J44" s="129" t="s">
        <v>415</v>
      </c>
      <c r="K44" s="129" t="s">
        <v>416</v>
      </c>
      <c r="L44" s="129" t="s">
        <v>417</v>
      </c>
      <c r="M44" s="129" t="s">
        <v>371</v>
      </c>
      <c r="N44" s="129" t="s">
        <v>418</v>
      </c>
      <c r="O44" s="129" t="s">
        <v>419</v>
      </c>
      <c r="P44" s="129" t="s">
        <v>420</v>
      </c>
      <c r="Q44" s="129" t="s">
        <v>176</v>
      </c>
      <c r="R44" s="145" t="s">
        <v>173</v>
      </c>
      <c r="S44" s="76"/>
      <c r="T44" s="146" t="s">
        <v>421</v>
      </c>
      <c r="U44" s="129" t="s">
        <v>422</v>
      </c>
      <c r="V44" s="76"/>
      <c r="W44" s="76"/>
      <c r="X44" s="76"/>
      <c r="Y44" s="76"/>
      <c r="Z44" s="76"/>
      <c r="AA44" s="76"/>
      <c r="AB44" s="76"/>
      <c r="AC44" s="76"/>
      <c r="AD44" s="76"/>
    </row>
    <row r="45" spans="1:30">
      <c r="A45" s="143">
        <v>23</v>
      </c>
      <c r="B45" s="144">
        <v>44643</v>
      </c>
      <c r="C45" s="142" t="s">
        <v>75</v>
      </c>
      <c r="D45" s="129" t="s">
        <v>423</v>
      </c>
      <c r="E45" s="142" t="s">
        <v>424</v>
      </c>
      <c r="F45" s="129" t="s">
        <v>425</v>
      </c>
      <c r="G45" s="142" t="s">
        <v>116</v>
      </c>
      <c r="H45" s="129" t="s">
        <v>426</v>
      </c>
      <c r="I45" s="129" t="s">
        <v>427</v>
      </c>
      <c r="J45" s="129" t="s">
        <v>428</v>
      </c>
      <c r="K45" s="129" t="s">
        <v>429</v>
      </c>
      <c r="L45" s="129" t="s">
        <v>430</v>
      </c>
      <c r="M45" s="129" t="s">
        <v>431</v>
      </c>
      <c r="N45" s="129" t="s">
        <v>432</v>
      </c>
      <c r="O45" s="129" t="s">
        <v>172</v>
      </c>
      <c r="P45" s="145" t="s">
        <v>173</v>
      </c>
      <c r="Q45" s="129" t="s">
        <v>176</v>
      </c>
      <c r="R45" s="145" t="s">
        <v>173</v>
      </c>
      <c r="S45" s="76"/>
      <c r="T45" s="146" t="s">
        <v>433</v>
      </c>
      <c r="U45" s="129" t="s">
        <v>434</v>
      </c>
      <c r="V45" s="76"/>
      <c r="W45" s="76"/>
      <c r="X45" s="76"/>
      <c r="Y45" s="76"/>
      <c r="Z45" s="76"/>
      <c r="AA45" s="76"/>
      <c r="AB45" s="76"/>
      <c r="AC45" s="76"/>
      <c r="AD45" s="76"/>
    </row>
    <row r="46" spans="1:30">
      <c r="A46" s="143">
        <v>24</v>
      </c>
      <c r="B46" s="144">
        <v>44643</v>
      </c>
      <c r="C46" s="142" t="s">
        <v>76</v>
      </c>
      <c r="D46" s="129" t="s">
        <v>435</v>
      </c>
      <c r="E46" s="142" t="s">
        <v>436</v>
      </c>
      <c r="F46" s="129" t="s">
        <v>437</v>
      </c>
      <c r="G46" s="142" t="s">
        <v>116</v>
      </c>
      <c r="H46" s="129" t="s">
        <v>438</v>
      </c>
      <c r="I46" s="129" t="s">
        <v>439</v>
      </c>
      <c r="J46" s="129" t="s">
        <v>440</v>
      </c>
      <c r="K46" s="129" t="s">
        <v>441</v>
      </c>
      <c r="L46" s="129" t="s">
        <v>442</v>
      </c>
      <c r="M46" s="129" t="s">
        <v>172</v>
      </c>
      <c r="N46" s="145" t="s">
        <v>173</v>
      </c>
      <c r="O46" s="129" t="s">
        <v>172</v>
      </c>
      <c r="P46" s="145" t="s">
        <v>173</v>
      </c>
      <c r="Q46" s="129" t="s">
        <v>176</v>
      </c>
      <c r="R46" s="145" t="s">
        <v>173</v>
      </c>
      <c r="S46" s="76"/>
      <c r="T46" s="146" t="s">
        <v>443</v>
      </c>
      <c r="U46" s="129" t="s">
        <v>196</v>
      </c>
      <c r="V46" s="76"/>
      <c r="W46" s="76"/>
      <c r="X46" s="76"/>
      <c r="Y46" s="76"/>
      <c r="Z46" s="76"/>
      <c r="AA46" s="76"/>
      <c r="AB46" s="76"/>
      <c r="AC46" s="76"/>
      <c r="AD46" s="76"/>
    </row>
    <row r="47" spans="1:30">
      <c r="A47" s="143">
        <v>25</v>
      </c>
      <c r="B47" s="144">
        <v>44643</v>
      </c>
      <c r="C47" s="142" t="s">
        <v>77</v>
      </c>
      <c r="D47" s="129" t="s">
        <v>444</v>
      </c>
      <c r="E47" s="142" t="s">
        <v>445</v>
      </c>
      <c r="F47" s="129" t="s">
        <v>293</v>
      </c>
      <c r="G47" s="142" t="s">
        <v>116</v>
      </c>
      <c r="H47" s="129" t="s">
        <v>446</v>
      </c>
      <c r="I47" s="129" t="s">
        <v>447</v>
      </c>
      <c r="J47" s="129" t="s">
        <v>448</v>
      </c>
      <c r="K47" s="129" t="s">
        <v>449</v>
      </c>
      <c r="L47" s="129" t="s">
        <v>450</v>
      </c>
      <c r="M47" s="129" t="s">
        <v>172</v>
      </c>
      <c r="N47" s="145" t="s">
        <v>173</v>
      </c>
      <c r="O47" s="129" t="s">
        <v>172</v>
      </c>
      <c r="P47" s="145" t="s">
        <v>173</v>
      </c>
      <c r="Q47" s="129" t="s">
        <v>176</v>
      </c>
      <c r="R47" s="145" t="s">
        <v>173</v>
      </c>
      <c r="S47" s="76"/>
      <c r="T47" s="146" t="s">
        <v>451</v>
      </c>
      <c r="U47" s="129" t="s">
        <v>452</v>
      </c>
      <c r="V47" s="76"/>
      <c r="W47" s="76"/>
      <c r="X47" s="76"/>
      <c r="Y47" s="76"/>
      <c r="Z47" s="76"/>
      <c r="AA47" s="76"/>
      <c r="AB47" s="76"/>
      <c r="AC47" s="76"/>
      <c r="AD47" s="76"/>
    </row>
    <row r="48" spans="1:30">
      <c r="A48" s="143">
        <v>26</v>
      </c>
      <c r="B48" s="144">
        <v>44643</v>
      </c>
      <c r="C48" s="142" t="s">
        <v>78</v>
      </c>
      <c r="D48" s="129" t="s">
        <v>453</v>
      </c>
      <c r="E48" s="142" t="s">
        <v>454</v>
      </c>
      <c r="F48" s="129" t="s">
        <v>455</v>
      </c>
      <c r="G48" s="142" t="s">
        <v>116</v>
      </c>
      <c r="H48" s="129" t="s">
        <v>456</v>
      </c>
      <c r="I48" s="129" t="s">
        <v>457</v>
      </c>
      <c r="J48" s="129" t="s">
        <v>458</v>
      </c>
      <c r="K48" s="129" t="s">
        <v>280</v>
      </c>
      <c r="L48" s="129" t="s">
        <v>459</v>
      </c>
      <c r="M48" s="129" t="s">
        <v>351</v>
      </c>
      <c r="N48" s="129" t="s">
        <v>460</v>
      </c>
      <c r="O48" s="129" t="s">
        <v>172</v>
      </c>
      <c r="P48" s="145" t="s">
        <v>173</v>
      </c>
      <c r="Q48" s="129" t="s">
        <v>176</v>
      </c>
      <c r="R48" s="145" t="s">
        <v>173</v>
      </c>
      <c r="S48" s="76"/>
      <c r="T48" s="146" t="s">
        <v>461</v>
      </c>
      <c r="U48" s="129" t="s">
        <v>462</v>
      </c>
      <c r="V48" s="76"/>
      <c r="W48" s="76"/>
      <c r="X48" s="76"/>
      <c r="Y48" s="76"/>
      <c r="Z48" s="76"/>
      <c r="AA48" s="76"/>
      <c r="AB48" s="76"/>
      <c r="AC48" s="76"/>
      <c r="AD48" s="76"/>
    </row>
    <row r="49" spans="1:30">
      <c r="A49" s="143">
        <v>27</v>
      </c>
      <c r="B49" s="144">
        <v>44643</v>
      </c>
      <c r="C49" s="142" t="s">
        <v>79</v>
      </c>
      <c r="D49" s="129" t="s">
        <v>463</v>
      </c>
      <c r="E49" s="142" t="s">
        <v>464</v>
      </c>
      <c r="F49" s="129" t="s">
        <v>465</v>
      </c>
      <c r="G49" s="142" t="s">
        <v>116</v>
      </c>
      <c r="H49" s="129" t="s">
        <v>466</v>
      </c>
      <c r="I49" s="129" t="s">
        <v>467</v>
      </c>
      <c r="J49" s="129" t="s">
        <v>468</v>
      </c>
      <c r="K49" s="129" t="s">
        <v>469</v>
      </c>
      <c r="L49" s="129" t="s">
        <v>470</v>
      </c>
      <c r="M49" s="129" t="s">
        <v>471</v>
      </c>
      <c r="N49" s="129" t="s">
        <v>472</v>
      </c>
      <c r="O49" s="129" t="s">
        <v>172</v>
      </c>
      <c r="P49" s="145" t="s">
        <v>173</v>
      </c>
      <c r="Q49" s="129" t="s">
        <v>176</v>
      </c>
      <c r="R49" s="145" t="s">
        <v>173</v>
      </c>
      <c r="S49" s="76"/>
      <c r="T49" s="146" t="s">
        <v>473</v>
      </c>
      <c r="U49" s="129" t="s">
        <v>474</v>
      </c>
      <c r="V49" s="76"/>
      <c r="W49" s="76"/>
      <c r="X49" s="76"/>
      <c r="Y49" s="76"/>
      <c r="Z49" s="76"/>
      <c r="AA49" s="76"/>
      <c r="AB49" s="76"/>
      <c r="AC49" s="76"/>
      <c r="AD49" s="76"/>
    </row>
    <row r="50" spans="1:30">
      <c r="A50" s="143">
        <v>28</v>
      </c>
      <c r="B50" s="144">
        <v>44657</v>
      </c>
      <c r="C50" s="142" t="s">
        <v>23</v>
      </c>
      <c r="D50" s="129" t="s">
        <v>475</v>
      </c>
      <c r="E50" s="142" t="s">
        <v>476</v>
      </c>
      <c r="F50" s="129" t="s">
        <v>477</v>
      </c>
      <c r="G50" s="142" t="s">
        <v>116</v>
      </c>
      <c r="H50" s="129" t="s">
        <v>478</v>
      </c>
      <c r="I50" s="129" t="s">
        <v>479</v>
      </c>
      <c r="J50" s="129" t="s">
        <v>480</v>
      </c>
      <c r="K50" s="129" t="s">
        <v>481</v>
      </c>
      <c r="L50" s="129" t="s">
        <v>482</v>
      </c>
      <c r="M50" s="129" t="s">
        <v>172</v>
      </c>
      <c r="N50" s="145" t="s">
        <v>173</v>
      </c>
      <c r="O50" s="129" t="s">
        <v>483</v>
      </c>
      <c r="P50" s="129" t="s">
        <v>484</v>
      </c>
      <c r="Q50" s="129" t="s">
        <v>176</v>
      </c>
      <c r="R50" s="145" t="s">
        <v>173</v>
      </c>
      <c r="S50" s="76"/>
      <c r="T50" s="146" t="s">
        <v>485</v>
      </c>
      <c r="U50" s="129" t="s">
        <v>486</v>
      </c>
      <c r="V50" s="76"/>
      <c r="W50" s="76"/>
      <c r="X50" s="76"/>
      <c r="Y50" s="76"/>
      <c r="Z50" s="76"/>
      <c r="AA50" s="76"/>
      <c r="AB50" s="76"/>
      <c r="AC50" s="76"/>
      <c r="AD50" s="76"/>
    </row>
    <row r="51" spans="1:30">
      <c r="A51" s="143">
        <v>29</v>
      </c>
      <c r="B51" s="144">
        <v>44657</v>
      </c>
      <c r="C51" s="142" t="s">
        <v>27</v>
      </c>
      <c r="D51" s="129" t="s">
        <v>487</v>
      </c>
      <c r="E51" s="142" t="s">
        <v>488</v>
      </c>
      <c r="F51" s="129" t="s">
        <v>489</v>
      </c>
      <c r="G51" s="142" t="s">
        <v>116</v>
      </c>
      <c r="H51" s="129" t="s">
        <v>490</v>
      </c>
      <c r="I51" s="129" t="s">
        <v>491</v>
      </c>
      <c r="J51" s="129" t="s">
        <v>337</v>
      </c>
      <c r="K51" s="129" t="s">
        <v>492</v>
      </c>
      <c r="L51" s="129" t="s">
        <v>493</v>
      </c>
      <c r="M51" s="129" t="s">
        <v>172</v>
      </c>
      <c r="N51" s="145" t="s">
        <v>173</v>
      </c>
      <c r="O51" s="129" t="s">
        <v>494</v>
      </c>
      <c r="P51" s="129" t="s">
        <v>495</v>
      </c>
      <c r="Q51" s="129" t="s">
        <v>176</v>
      </c>
      <c r="R51" s="145" t="s">
        <v>173</v>
      </c>
      <c r="S51" s="76"/>
      <c r="T51" s="146" t="s">
        <v>496</v>
      </c>
      <c r="U51" s="129" t="s">
        <v>497</v>
      </c>
      <c r="V51" s="76"/>
      <c r="W51" s="76"/>
      <c r="X51" s="76"/>
      <c r="Y51" s="76"/>
      <c r="Z51" s="76"/>
      <c r="AA51" s="76"/>
      <c r="AB51" s="76"/>
      <c r="AC51" s="76"/>
      <c r="AD51" s="76"/>
    </row>
    <row r="52" spans="1:30">
      <c r="A52" s="143">
        <v>30</v>
      </c>
      <c r="B52" s="144">
        <v>44657</v>
      </c>
      <c r="C52" s="142" t="s">
        <v>30</v>
      </c>
      <c r="D52" s="129" t="s">
        <v>498</v>
      </c>
      <c r="E52" s="142" t="s">
        <v>499</v>
      </c>
      <c r="F52" s="129" t="s">
        <v>214</v>
      </c>
      <c r="G52" s="142" t="s">
        <v>116</v>
      </c>
      <c r="H52" s="129" t="s">
        <v>500</v>
      </c>
      <c r="I52" s="129" t="s">
        <v>501</v>
      </c>
      <c r="J52" s="129" t="s">
        <v>502</v>
      </c>
      <c r="K52" s="129" t="s">
        <v>503</v>
      </c>
      <c r="L52" s="129" t="s">
        <v>504</v>
      </c>
      <c r="M52" s="129" t="s">
        <v>172</v>
      </c>
      <c r="N52" s="145" t="s">
        <v>173</v>
      </c>
      <c r="O52" s="129" t="s">
        <v>505</v>
      </c>
      <c r="P52" s="129" t="s">
        <v>506</v>
      </c>
      <c r="Q52" s="129" t="s">
        <v>176</v>
      </c>
      <c r="R52" s="145" t="s">
        <v>173</v>
      </c>
      <c r="S52" s="76"/>
      <c r="T52" s="146" t="s">
        <v>507</v>
      </c>
      <c r="U52" s="129" t="s">
        <v>437</v>
      </c>
      <c r="V52" s="76"/>
      <c r="W52" s="76"/>
      <c r="X52" s="76"/>
      <c r="Y52" s="76"/>
      <c r="Z52" s="76"/>
      <c r="AA52" s="76"/>
      <c r="AB52" s="76"/>
      <c r="AC52" s="76"/>
      <c r="AD52" s="76"/>
    </row>
    <row r="53" spans="1:30">
      <c r="A53" s="143">
        <v>31</v>
      </c>
      <c r="B53" s="144">
        <v>44657</v>
      </c>
      <c r="C53" s="142" t="s">
        <v>32</v>
      </c>
      <c r="D53" s="142" t="s">
        <v>508</v>
      </c>
      <c r="E53" s="142" t="s">
        <v>509</v>
      </c>
      <c r="F53" s="142" t="s">
        <v>480</v>
      </c>
      <c r="G53" s="142" t="s">
        <v>116</v>
      </c>
      <c r="H53" s="129" t="s">
        <v>510</v>
      </c>
      <c r="I53" s="129" t="s">
        <v>511</v>
      </c>
      <c r="J53" s="129" t="s">
        <v>512</v>
      </c>
      <c r="K53" s="129" t="s">
        <v>494</v>
      </c>
      <c r="L53" s="129" t="s">
        <v>513</v>
      </c>
      <c r="M53" s="129" t="s">
        <v>172</v>
      </c>
      <c r="N53" s="145" t="s">
        <v>173</v>
      </c>
      <c r="O53" s="129" t="s">
        <v>514</v>
      </c>
      <c r="P53" s="129" t="s">
        <v>515</v>
      </c>
      <c r="Q53" s="129" t="s">
        <v>176</v>
      </c>
      <c r="R53" s="145" t="s">
        <v>173</v>
      </c>
      <c r="S53" s="76"/>
      <c r="T53" s="146" t="s">
        <v>225</v>
      </c>
      <c r="U53" s="129" t="s">
        <v>516</v>
      </c>
      <c r="V53" s="76"/>
      <c r="W53" s="76"/>
      <c r="X53" s="76"/>
      <c r="Y53" s="76"/>
      <c r="Z53" s="76"/>
      <c r="AA53" s="76"/>
      <c r="AB53" s="76"/>
      <c r="AC53" s="76"/>
      <c r="AD53" s="76"/>
    </row>
    <row r="54" spans="1:30">
      <c r="A54" s="143">
        <v>32</v>
      </c>
      <c r="B54" s="144">
        <v>44657</v>
      </c>
      <c r="C54" s="142" t="s">
        <v>34</v>
      </c>
      <c r="D54" s="142" t="s">
        <v>517</v>
      </c>
      <c r="E54" s="142" t="s">
        <v>518</v>
      </c>
      <c r="F54" s="142" t="s">
        <v>519</v>
      </c>
      <c r="G54" s="121" t="s">
        <v>116</v>
      </c>
      <c r="H54" s="129" t="s">
        <v>520</v>
      </c>
      <c r="I54" s="129" t="s">
        <v>521</v>
      </c>
      <c r="J54" s="129" t="s">
        <v>522</v>
      </c>
      <c r="K54" s="129" t="s">
        <v>371</v>
      </c>
      <c r="L54" s="129" t="s">
        <v>523</v>
      </c>
      <c r="M54" s="129" t="s">
        <v>172</v>
      </c>
      <c r="N54" s="145" t="s">
        <v>173</v>
      </c>
      <c r="O54" s="129" t="s">
        <v>524</v>
      </c>
      <c r="P54" s="129" t="s">
        <v>525</v>
      </c>
      <c r="Q54" s="129" t="s">
        <v>176</v>
      </c>
      <c r="R54" s="145" t="s">
        <v>173</v>
      </c>
      <c r="S54" s="76"/>
      <c r="T54" s="146" t="s">
        <v>526</v>
      </c>
      <c r="U54" s="129" t="s">
        <v>527</v>
      </c>
      <c r="V54" s="76"/>
      <c r="W54" s="76"/>
      <c r="X54" s="76"/>
      <c r="Y54" s="76"/>
      <c r="Z54" s="76"/>
      <c r="AA54" s="76"/>
      <c r="AB54" s="76"/>
      <c r="AC54" s="76"/>
      <c r="AD54" s="76"/>
    </row>
    <row r="55" spans="1:30">
      <c r="A55" s="143">
        <v>33</v>
      </c>
      <c r="B55" s="144">
        <v>44657</v>
      </c>
      <c r="C55" s="142" t="s">
        <v>35</v>
      </c>
      <c r="D55" s="129" t="s">
        <v>528</v>
      </c>
      <c r="E55" s="142" t="s">
        <v>529</v>
      </c>
      <c r="F55" s="129" t="s">
        <v>530</v>
      </c>
      <c r="G55" s="142" t="s">
        <v>116</v>
      </c>
      <c r="H55" s="129" t="s">
        <v>531</v>
      </c>
      <c r="I55" s="129" t="s">
        <v>532</v>
      </c>
      <c r="J55" s="129" t="s">
        <v>533</v>
      </c>
      <c r="K55" s="129" t="s">
        <v>483</v>
      </c>
      <c r="L55" s="129" t="s">
        <v>534</v>
      </c>
      <c r="M55" s="129" t="s">
        <v>172</v>
      </c>
      <c r="N55" s="145" t="s">
        <v>173</v>
      </c>
      <c r="O55" s="129" t="s">
        <v>304</v>
      </c>
      <c r="P55" s="129" t="s">
        <v>535</v>
      </c>
      <c r="Q55" s="129" t="s">
        <v>176</v>
      </c>
      <c r="R55" s="145" t="s">
        <v>173</v>
      </c>
      <c r="S55" s="76"/>
      <c r="T55" s="146" t="s">
        <v>536</v>
      </c>
      <c r="U55" s="129" t="s">
        <v>537</v>
      </c>
      <c r="V55" s="76"/>
      <c r="W55" s="76"/>
      <c r="X55" s="76"/>
      <c r="Y55" s="76"/>
      <c r="Z55" s="76"/>
      <c r="AA55" s="76"/>
      <c r="AB55" s="76"/>
      <c r="AC55" s="76"/>
      <c r="AD55" s="76"/>
    </row>
    <row r="56" spans="1:30">
      <c r="A56" s="143">
        <v>34</v>
      </c>
      <c r="B56" s="144">
        <v>44657</v>
      </c>
      <c r="C56" s="142" t="s">
        <v>36</v>
      </c>
      <c r="D56" s="129" t="s">
        <v>538</v>
      </c>
      <c r="E56" s="142" t="s">
        <v>539</v>
      </c>
      <c r="F56" s="129" t="s">
        <v>462</v>
      </c>
      <c r="G56" s="142" t="s">
        <v>116</v>
      </c>
      <c r="H56" s="129" t="s">
        <v>540</v>
      </c>
      <c r="I56" s="129" t="s">
        <v>541</v>
      </c>
      <c r="J56" s="129" t="s">
        <v>542</v>
      </c>
      <c r="K56" s="129" t="s">
        <v>543</v>
      </c>
      <c r="L56" s="129" t="s">
        <v>544</v>
      </c>
      <c r="M56" s="129" t="s">
        <v>172</v>
      </c>
      <c r="N56" s="145" t="s">
        <v>173</v>
      </c>
      <c r="O56" s="129" t="s">
        <v>545</v>
      </c>
      <c r="P56" s="129" t="s">
        <v>546</v>
      </c>
      <c r="Q56" s="129" t="s">
        <v>176</v>
      </c>
      <c r="R56" s="145" t="s">
        <v>173</v>
      </c>
      <c r="S56" s="76"/>
      <c r="T56" s="146" t="s">
        <v>547</v>
      </c>
      <c r="U56" s="129" t="s">
        <v>548</v>
      </c>
      <c r="V56" s="76"/>
      <c r="W56" s="76"/>
      <c r="X56" s="76"/>
      <c r="Y56" s="76"/>
      <c r="Z56" s="76"/>
      <c r="AA56" s="76"/>
      <c r="AB56" s="76"/>
      <c r="AC56" s="76"/>
      <c r="AD56" s="76"/>
    </row>
    <row r="57" spans="1:30">
      <c r="A57" s="143">
        <v>35</v>
      </c>
      <c r="B57" s="144">
        <v>44657</v>
      </c>
      <c r="C57" s="142" t="s">
        <v>37</v>
      </c>
      <c r="D57" s="129" t="s">
        <v>549</v>
      </c>
      <c r="E57" s="142" t="s">
        <v>550</v>
      </c>
      <c r="F57" s="129" t="s">
        <v>551</v>
      </c>
      <c r="G57" s="142" t="s">
        <v>116</v>
      </c>
      <c r="H57" s="129" t="s">
        <v>552</v>
      </c>
      <c r="I57" s="129" t="s">
        <v>553</v>
      </c>
      <c r="J57" s="129" t="s">
        <v>554</v>
      </c>
      <c r="K57" s="129" t="s">
        <v>256</v>
      </c>
      <c r="L57" s="129" t="s">
        <v>555</v>
      </c>
      <c r="M57" s="129" t="s">
        <v>172</v>
      </c>
      <c r="N57" s="145" t="s">
        <v>173</v>
      </c>
      <c r="O57" s="129" t="s">
        <v>524</v>
      </c>
      <c r="P57" s="129" t="s">
        <v>556</v>
      </c>
      <c r="Q57" s="129" t="s">
        <v>557</v>
      </c>
      <c r="R57" s="129" t="s">
        <v>558</v>
      </c>
      <c r="S57" s="76"/>
      <c r="T57" s="146" t="s">
        <v>559</v>
      </c>
      <c r="U57" s="129" t="s">
        <v>560</v>
      </c>
      <c r="V57" s="76"/>
      <c r="W57" s="76"/>
      <c r="X57" s="76"/>
      <c r="Y57" s="76"/>
      <c r="Z57" s="76"/>
      <c r="AA57" s="76"/>
      <c r="AB57" s="76"/>
      <c r="AC57" s="76"/>
      <c r="AD57" s="76"/>
    </row>
    <row r="58" spans="1:30">
      <c r="A58" s="143">
        <v>36</v>
      </c>
      <c r="B58" s="144">
        <v>44657</v>
      </c>
      <c r="C58" s="142" t="s">
        <v>38</v>
      </c>
      <c r="D58" s="129" t="s">
        <v>561</v>
      </c>
      <c r="E58" s="142" t="s">
        <v>562</v>
      </c>
      <c r="F58" s="129" t="s">
        <v>563</v>
      </c>
      <c r="G58" s="142" t="s">
        <v>116</v>
      </c>
      <c r="H58" s="129" t="s">
        <v>564</v>
      </c>
      <c r="I58" s="129" t="s">
        <v>565</v>
      </c>
      <c r="J58" s="129" t="s">
        <v>566</v>
      </c>
      <c r="K58" s="129" t="s">
        <v>567</v>
      </c>
      <c r="L58" s="129" t="s">
        <v>568</v>
      </c>
      <c r="M58" s="129" t="s">
        <v>172</v>
      </c>
      <c r="N58" s="145" t="s">
        <v>173</v>
      </c>
      <c r="O58" s="129" t="s">
        <v>569</v>
      </c>
      <c r="P58" s="129" t="s">
        <v>570</v>
      </c>
      <c r="Q58" s="129" t="s">
        <v>176</v>
      </c>
      <c r="R58" s="145" t="s">
        <v>173</v>
      </c>
      <c r="S58" s="76"/>
      <c r="T58" s="146" t="s">
        <v>571</v>
      </c>
      <c r="U58" s="129" t="s">
        <v>572</v>
      </c>
      <c r="V58" s="76"/>
      <c r="W58" s="76"/>
      <c r="X58" s="76"/>
      <c r="Y58" s="76"/>
      <c r="Z58" s="76"/>
      <c r="AA58" s="76"/>
      <c r="AB58" s="76"/>
      <c r="AC58" s="76"/>
      <c r="AD58" s="76"/>
    </row>
    <row r="59" spans="1:30">
      <c r="A59" s="143">
        <v>37</v>
      </c>
      <c r="B59" s="144">
        <v>44657</v>
      </c>
      <c r="C59" s="142" t="s">
        <v>39</v>
      </c>
      <c r="D59" s="129" t="s">
        <v>573</v>
      </c>
      <c r="E59" s="142" t="s">
        <v>574</v>
      </c>
      <c r="F59" s="129" t="s">
        <v>575</v>
      </c>
      <c r="G59" s="142" t="s">
        <v>116</v>
      </c>
      <c r="H59" s="129" t="s">
        <v>576</v>
      </c>
      <c r="I59" s="129" t="s">
        <v>577</v>
      </c>
      <c r="J59" s="129" t="s">
        <v>578</v>
      </c>
      <c r="K59" s="129" t="s">
        <v>328</v>
      </c>
      <c r="L59" s="129" t="s">
        <v>579</v>
      </c>
      <c r="M59" s="129" t="s">
        <v>172</v>
      </c>
      <c r="N59" s="145" t="s">
        <v>173</v>
      </c>
      <c r="O59" s="129" t="s">
        <v>172</v>
      </c>
      <c r="P59" s="145" t="s">
        <v>173</v>
      </c>
      <c r="Q59" s="129" t="s">
        <v>176</v>
      </c>
      <c r="R59" s="145" t="s">
        <v>173</v>
      </c>
      <c r="S59" s="76"/>
      <c r="T59" s="146" t="s">
        <v>580</v>
      </c>
      <c r="U59" s="129" t="s">
        <v>193</v>
      </c>
      <c r="V59" s="76"/>
      <c r="W59" s="76"/>
      <c r="X59" s="76"/>
      <c r="Y59" s="76"/>
      <c r="Z59" s="76"/>
      <c r="AA59" s="76"/>
      <c r="AB59" s="76"/>
      <c r="AC59" s="76"/>
      <c r="AD59" s="76"/>
    </row>
    <row r="60" spans="1:30">
      <c r="A60" s="143">
        <v>38</v>
      </c>
      <c r="B60" s="144">
        <v>44657</v>
      </c>
      <c r="C60" s="142" t="s">
        <v>40</v>
      </c>
      <c r="D60" s="129" t="s">
        <v>581</v>
      </c>
      <c r="E60" s="142" t="s">
        <v>582</v>
      </c>
      <c r="F60" s="129" t="s">
        <v>205</v>
      </c>
      <c r="G60" s="142" t="s">
        <v>116</v>
      </c>
      <c r="H60" s="129" t="s">
        <v>583</v>
      </c>
      <c r="I60" s="129" t="s">
        <v>584</v>
      </c>
      <c r="J60" s="129" t="s">
        <v>585</v>
      </c>
      <c r="K60" s="129" t="s">
        <v>469</v>
      </c>
      <c r="L60" s="129" t="s">
        <v>586</v>
      </c>
      <c r="M60" s="129" t="s">
        <v>172</v>
      </c>
      <c r="N60" s="145" t="s">
        <v>173</v>
      </c>
      <c r="O60" s="129" t="s">
        <v>524</v>
      </c>
      <c r="P60" s="129" t="s">
        <v>587</v>
      </c>
      <c r="Q60" s="129" t="s">
        <v>176</v>
      </c>
      <c r="R60" s="145" t="s">
        <v>173</v>
      </c>
      <c r="S60" s="76"/>
      <c r="T60" s="146" t="s">
        <v>588</v>
      </c>
      <c r="U60" s="129" t="s">
        <v>589</v>
      </c>
      <c r="V60" s="76"/>
      <c r="W60" s="76"/>
      <c r="X60" s="76"/>
      <c r="Y60" s="76"/>
      <c r="Z60" s="76"/>
      <c r="AA60" s="76"/>
      <c r="AB60" s="76"/>
      <c r="AC60" s="76"/>
      <c r="AD60" s="76"/>
    </row>
    <row r="61" spans="1:30">
      <c r="A61" s="143">
        <v>39</v>
      </c>
      <c r="B61" s="144">
        <v>44657</v>
      </c>
      <c r="C61" s="142" t="s">
        <v>41</v>
      </c>
      <c r="D61" s="129" t="s">
        <v>590</v>
      </c>
      <c r="E61" s="142" t="s">
        <v>591</v>
      </c>
      <c r="F61" s="129" t="s">
        <v>592</v>
      </c>
      <c r="G61" s="142" t="s">
        <v>116</v>
      </c>
      <c r="H61" s="129" t="s">
        <v>593</v>
      </c>
      <c r="I61" s="129" t="s">
        <v>594</v>
      </c>
      <c r="J61" s="129" t="s">
        <v>595</v>
      </c>
      <c r="K61" s="129" t="s">
        <v>328</v>
      </c>
      <c r="L61" s="129" t="s">
        <v>367</v>
      </c>
      <c r="M61" s="129" t="s">
        <v>172</v>
      </c>
      <c r="N61" s="145" t="s">
        <v>173</v>
      </c>
      <c r="O61" s="129" t="s">
        <v>407</v>
      </c>
      <c r="P61" s="129" t="s">
        <v>596</v>
      </c>
      <c r="Q61" s="129" t="s">
        <v>176</v>
      </c>
      <c r="R61" s="145" t="s">
        <v>173</v>
      </c>
      <c r="S61" s="76"/>
      <c r="T61" s="146" t="s">
        <v>284</v>
      </c>
      <c r="U61" s="129" t="s">
        <v>597</v>
      </c>
      <c r="V61" s="76"/>
      <c r="W61" s="76"/>
      <c r="X61" s="76"/>
      <c r="Y61" s="76"/>
      <c r="Z61" s="76"/>
      <c r="AA61" s="76"/>
      <c r="AB61" s="76"/>
      <c r="AC61" s="76"/>
      <c r="AD61" s="76"/>
    </row>
    <row r="62" spans="1:30">
      <c r="A62" s="143">
        <v>40</v>
      </c>
      <c r="B62" s="144">
        <v>44657</v>
      </c>
      <c r="C62" s="142" t="s">
        <v>42</v>
      </c>
      <c r="D62" s="129" t="s">
        <v>598</v>
      </c>
      <c r="E62" s="142" t="s">
        <v>599</v>
      </c>
      <c r="F62" s="129" t="s">
        <v>600</v>
      </c>
      <c r="G62" s="142" t="s">
        <v>116</v>
      </c>
      <c r="H62" s="129" t="s">
        <v>601</v>
      </c>
      <c r="I62" s="129" t="s">
        <v>602</v>
      </c>
      <c r="J62" s="129" t="s">
        <v>603</v>
      </c>
      <c r="K62" s="129" t="s">
        <v>604</v>
      </c>
      <c r="L62" s="129" t="s">
        <v>605</v>
      </c>
      <c r="M62" s="129" t="s">
        <v>172</v>
      </c>
      <c r="N62" s="145" t="s">
        <v>173</v>
      </c>
      <c r="O62" s="129" t="s">
        <v>606</v>
      </c>
      <c r="P62" s="129" t="s">
        <v>607</v>
      </c>
      <c r="Q62" s="129" t="s">
        <v>176</v>
      </c>
      <c r="R62" s="145" t="s">
        <v>173</v>
      </c>
      <c r="S62" s="76"/>
      <c r="T62" s="146" t="s">
        <v>608</v>
      </c>
      <c r="U62" s="129" t="s">
        <v>609</v>
      </c>
      <c r="V62" s="76"/>
      <c r="W62" s="76"/>
      <c r="X62" s="76"/>
      <c r="Y62" s="76"/>
      <c r="Z62" s="76"/>
      <c r="AA62" s="76"/>
      <c r="AB62" s="76"/>
      <c r="AC62" s="76"/>
      <c r="AD62" s="76"/>
    </row>
    <row r="63" spans="1:30">
      <c r="A63" s="143">
        <v>41</v>
      </c>
      <c r="B63" s="144">
        <v>44657</v>
      </c>
      <c r="C63" s="142" t="s">
        <v>43</v>
      </c>
      <c r="D63" s="142" t="s">
        <v>610</v>
      </c>
      <c r="E63" s="142" t="s">
        <v>251</v>
      </c>
      <c r="F63" s="142" t="s">
        <v>348</v>
      </c>
      <c r="G63" s="142" t="s">
        <v>116</v>
      </c>
      <c r="H63" s="129" t="s">
        <v>611</v>
      </c>
      <c r="I63" s="129" t="s">
        <v>612</v>
      </c>
      <c r="J63" s="129" t="s">
        <v>613</v>
      </c>
      <c r="K63" s="129" t="s">
        <v>614</v>
      </c>
      <c r="L63" s="129" t="s">
        <v>615</v>
      </c>
      <c r="M63" s="129" t="s">
        <v>172</v>
      </c>
      <c r="N63" s="145" t="s">
        <v>173</v>
      </c>
      <c r="O63" s="129" t="s">
        <v>616</v>
      </c>
      <c r="P63" s="129" t="s">
        <v>617</v>
      </c>
      <c r="Q63" s="129" t="s">
        <v>176</v>
      </c>
      <c r="R63" s="145" t="s">
        <v>173</v>
      </c>
      <c r="S63" s="76"/>
      <c r="T63" s="146" t="s">
        <v>618</v>
      </c>
      <c r="U63" s="129" t="s">
        <v>619</v>
      </c>
      <c r="V63" s="76"/>
      <c r="W63" s="76"/>
      <c r="X63" s="76"/>
      <c r="Y63" s="76"/>
      <c r="Z63" s="76"/>
      <c r="AA63" s="76"/>
      <c r="AB63" s="76"/>
      <c r="AC63" s="76"/>
      <c r="AD63" s="76"/>
    </row>
    <row r="64" spans="1:30">
      <c r="A64" s="143">
        <v>42</v>
      </c>
      <c r="B64" s="144">
        <v>44657</v>
      </c>
      <c r="C64" s="142" t="s">
        <v>44</v>
      </c>
      <c r="D64" s="142" t="s">
        <v>620</v>
      </c>
      <c r="E64" s="142" t="s">
        <v>621</v>
      </c>
      <c r="F64" s="142" t="s">
        <v>622</v>
      </c>
      <c r="G64" s="121" t="s">
        <v>116</v>
      </c>
      <c r="H64" s="129" t="s">
        <v>623</v>
      </c>
      <c r="I64" s="129" t="s">
        <v>336</v>
      </c>
      <c r="J64" s="129" t="s">
        <v>325</v>
      </c>
      <c r="K64" s="129" t="s">
        <v>624</v>
      </c>
      <c r="L64" s="129" t="s">
        <v>625</v>
      </c>
      <c r="M64" s="129" t="s">
        <v>172</v>
      </c>
      <c r="N64" s="145" t="s">
        <v>173</v>
      </c>
      <c r="O64" s="129" t="s">
        <v>616</v>
      </c>
      <c r="P64" s="129" t="s">
        <v>626</v>
      </c>
      <c r="Q64" s="129" t="s">
        <v>176</v>
      </c>
      <c r="R64" s="145" t="s">
        <v>173</v>
      </c>
      <c r="S64" s="76"/>
      <c r="T64" s="146" t="s">
        <v>627</v>
      </c>
      <c r="U64" s="129" t="s">
        <v>589</v>
      </c>
      <c r="V64" s="76"/>
      <c r="W64" s="76"/>
      <c r="X64" s="76"/>
      <c r="Y64" s="76"/>
      <c r="Z64" s="76"/>
      <c r="AA64" s="76"/>
      <c r="AB64" s="76"/>
      <c r="AC64" s="76"/>
      <c r="AD64" s="76"/>
    </row>
    <row r="65" spans="1:30">
      <c r="A65" s="143">
        <v>43</v>
      </c>
      <c r="B65" s="144">
        <v>44657</v>
      </c>
      <c r="C65" s="142" t="s">
        <v>68</v>
      </c>
      <c r="D65" s="129" t="s">
        <v>628</v>
      </c>
      <c r="E65" s="142" t="s">
        <v>629</v>
      </c>
      <c r="F65" s="129" t="s">
        <v>630</v>
      </c>
      <c r="G65" s="142" t="s">
        <v>116</v>
      </c>
      <c r="H65" s="129" t="s">
        <v>631</v>
      </c>
      <c r="I65" s="129" t="s">
        <v>632</v>
      </c>
      <c r="J65" s="129" t="s">
        <v>238</v>
      </c>
      <c r="K65" s="129" t="s">
        <v>633</v>
      </c>
      <c r="L65" s="129" t="s">
        <v>634</v>
      </c>
      <c r="M65" s="129" t="s">
        <v>635</v>
      </c>
      <c r="N65" s="129" t="s">
        <v>636</v>
      </c>
      <c r="O65" s="129" t="s">
        <v>172</v>
      </c>
      <c r="P65" s="145" t="s">
        <v>173</v>
      </c>
      <c r="Q65" s="129" t="s">
        <v>176</v>
      </c>
      <c r="R65" s="145" t="s">
        <v>173</v>
      </c>
      <c r="S65" s="76"/>
      <c r="T65" s="146" t="s">
        <v>637</v>
      </c>
      <c r="U65" s="129" t="s">
        <v>638</v>
      </c>
      <c r="V65" s="76"/>
      <c r="W65" s="76"/>
      <c r="X65" s="76"/>
      <c r="Y65" s="76"/>
      <c r="Z65" s="76"/>
      <c r="AA65" s="76"/>
      <c r="AB65" s="76"/>
      <c r="AC65" s="76"/>
      <c r="AD65" s="76"/>
    </row>
    <row r="66" spans="1:30">
      <c r="A66" s="143">
        <v>44</v>
      </c>
      <c r="B66" s="144">
        <v>44657</v>
      </c>
      <c r="C66" s="142" t="s">
        <v>69</v>
      </c>
      <c r="D66" s="129" t="s">
        <v>639</v>
      </c>
      <c r="E66" s="142" t="s">
        <v>640</v>
      </c>
      <c r="F66" s="129" t="s">
        <v>641</v>
      </c>
      <c r="G66" s="142" t="s">
        <v>116</v>
      </c>
      <c r="H66" s="129" t="s">
        <v>642</v>
      </c>
      <c r="I66" s="129" t="s">
        <v>643</v>
      </c>
      <c r="J66" s="129" t="s">
        <v>644</v>
      </c>
      <c r="K66" s="129" t="s">
        <v>645</v>
      </c>
      <c r="L66" s="129" t="s">
        <v>646</v>
      </c>
      <c r="M66" s="129" t="s">
        <v>172</v>
      </c>
      <c r="N66" s="145" t="s">
        <v>173</v>
      </c>
      <c r="O66" s="129" t="s">
        <v>172</v>
      </c>
      <c r="P66" s="145" t="s">
        <v>173</v>
      </c>
      <c r="Q66" s="129" t="s">
        <v>176</v>
      </c>
      <c r="R66" s="145" t="s">
        <v>173</v>
      </c>
      <c r="S66" s="76"/>
      <c r="T66" s="146" t="s">
        <v>647</v>
      </c>
      <c r="U66" s="129" t="s">
        <v>648</v>
      </c>
      <c r="V66" s="76"/>
      <c r="W66" s="76"/>
      <c r="X66" s="76"/>
      <c r="Y66" s="76"/>
      <c r="Z66" s="76"/>
      <c r="AA66" s="76"/>
      <c r="AB66" s="76"/>
      <c r="AC66" s="76"/>
      <c r="AD66" s="76"/>
    </row>
    <row r="67" spans="1:30">
      <c r="A67" s="143">
        <v>45</v>
      </c>
      <c r="B67" s="144">
        <v>44657</v>
      </c>
      <c r="C67" s="142" t="s">
        <v>70</v>
      </c>
      <c r="D67" s="129" t="s">
        <v>649</v>
      </c>
      <c r="E67" s="142" t="s">
        <v>650</v>
      </c>
      <c r="F67" s="129" t="s">
        <v>651</v>
      </c>
      <c r="G67" s="142" t="s">
        <v>116</v>
      </c>
      <c r="H67" s="129" t="s">
        <v>645</v>
      </c>
      <c r="I67" s="129" t="s">
        <v>652</v>
      </c>
      <c r="J67" s="129" t="s">
        <v>653</v>
      </c>
      <c r="K67" s="129" t="s">
        <v>654</v>
      </c>
      <c r="L67" s="129" t="s">
        <v>655</v>
      </c>
      <c r="M67" s="129" t="s">
        <v>656</v>
      </c>
      <c r="N67" s="129" t="s">
        <v>448</v>
      </c>
      <c r="O67" s="129" t="s">
        <v>657</v>
      </c>
      <c r="P67" s="129" t="s">
        <v>658</v>
      </c>
      <c r="Q67" s="129" t="s">
        <v>176</v>
      </c>
      <c r="R67" s="145" t="s">
        <v>173</v>
      </c>
      <c r="S67" s="76"/>
      <c r="T67" s="146" t="s">
        <v>361</v>
      </c>
      <c r="U67" s="145" t="s">
        <v>173</v>
      </c>
      <c r="V67" s="76"/>
      <c r="W67" s="76"/>
      <c r="X67" s="76"/>
      <c r="Y67" s="76"/>
      <c r="Z67" s="76"/>
      <c r="AA67" s="76"/>
      <c r="AB67" s="76"/>
      <c r="AC67" s="76"/>
      <c r="AD67" s="76"/>
    </row>
    <row r="68" spans="1:30">
      <c r="A68" s="143">
        <v>46</v>
      </c>
      <c r="B68" s="144">
        <v>44657</v>
      </c>
      <c r="C68" s="142" t="s">
        <v>71</v>
      </c>
      <c r="D68" s="129" t="s">
        <v>659</v>
      </c>
      <c r="E68" s="142" t="s">
        <v>660</v>
      </c>
      <c r="F68" s="129" t="s">
        <v>661</v>
      </c>
      <c r="G68" s="142" t="s">
        <v>116</v>
      </c>
      <c r="H68" s="129" t="s">
        <v>662</v>
      </c>
      <c r="I68" s="129" t="s">
        <v>663</v>
      </c>
      <c r="J68" s="129" t="s">
        <v>664</v>
      </c>
      <c r="K68" s="129" t="s">
        <v>481</v>
      </c>
      <c r="L68" s="129" t="s">
        <v>555</v>
      </c>
      <c r="M68" s="129" t="s">
        <v>665</v>
      </c>
      <c r="N68" s="129" t="s">
        <v>666</v>
      </c>
      <c r="O68" s="129" t="s">
        <v>172</v>
      </c>
      <c r="P68" s="145" t="s">
        <v>173</v>
      </c>
      <c r="Q68" s="129" t="s">
        <v>176</v>
      </c>
      <c r="R68" s="145" t="s">
        <v>173</v>
      </c>
      <c r="S68" s="76"/>
      <c r="T68" s="146" t="s">
        <v>667</v>
      </c>
      <c r="U68" s="129" t="s">
        <v>668</v>
      </c>
      <c r="V68" s="76"/>
      <c r="W68" s="76"/>
      <c r="X68" s="76"/>
      <c r="Y68" s="76"/>
      <c r="Z68" s="76"/>
      <c r="AA68" s="76"/>
      <c r="AB68" s="76"/>
      <c r="AC68" s="76"/>
      <c r="AD68" s="76"/>
    </row>
    <row r="69" spans="1:30">
      <c r="A69" s="143">
        <v>47</v>
      </c>
      <c r="B69" s="144">
        <v>44657</v>
      </c>
      <c r="C69" s="142" t="s">
        <v>72</v>
      </c>
      <c r="D69" s="129" t="s">
        <v>669</v>
      </c>
      <c r="E69" s="142" t="s">
        <v>387</v>
      </c>
      <c r="F69" s="129" t="s">
        <v>670</v>
      </c>
      <c r="G69" s="142" t="s">
        <v>116</v>
      </c>
      <c r="H69" s="129" t="s">
        <v>671</v>
      </c>
      <c r="I69" s="129" t="s">
        <v>672</v>
      </c>
      <c r="J69" s="129" t="s">
        <v>673</v>
      </c>
      <c r="K69" s="129" t="s">
        <v>674</v>
      </c>
      <c r="L69" s="129" t="s">
        <v>675</v>
      </c>
      <c r="M69" s="129" t="s">
        <v>494</v>
      </c>
      <c r="N69" s="129" t="s">
        <v>676</v>
      </c>
      <c r="O69" s="129" t="s">
        <v>172</v>
      </c>
      <c r="P69" s="145" t="s">
        <v>173</v>
      </c>
      <c r="Q69" s="129" t="s">
        <v>176</v>
      </c>
      <c r="R69" s="145" t="s">
        <v>173</v>
      </c>
      <c r="S69" s="76"/>
      <c r="T69" s="146" t="s">
        <v>677</v>
      </c>
      <c r="U69" s="129" t="s">
        <v>678</v>
      </c>
      <c r="V69" s="76"/>
      <c r="W69" s="76"/>
      <c r="X69" s="76"/>
      <c r="Y69" s="76"/>
      <c r="Z69" s="76"/>
      <c r="AA69" s="76"/>
      <c r="AB69" s="76"/>
      <c r="AC69" s="76"/>
      <c r="AD69" s="76"/>
    </row>
    <row r="70" spans="1:30">
      <c r="A70" s="143">
        <v>48</v>
      </c>
      <c r="B70" s="144">
        <v>44657</v>
      </c>
      <c r="C70" s="142" t="s">
        <v>73</v>
      </c>
      <c r="D70" s="129" t="s">
        <v>679</v>
      </c>
      <c r="E70" s="142" t="s">
        <v>680</v>
      </c>
      <c r="F70" s="129" t="s">
        <v>681</v>
      </c>
      <c r="G70" s="142" t="s">
        <v>116</v>
      </c>
      <c r="H70" s="129" t="s">
        <v>682</v>
      </c>
      <c r="I70" s="129" t="s">
        <v>683</v>
      </c>
      <c r="J70" s="129" t="s">
        <v>684</v>
      </c>
      <c r="K70" s="129" t="s">
        <v>685</v>
      </c>
      <c r="L70" s="129" t="s">
        <v>686</v>
      </c>
      <c r="M70" s="129" t="s">
        <v>687</v>
      </c>
      <c r="N70" s="129" t="s">
        <v>688</v>
      </c>
      <c r="O70" s="129" t="s">
        <v>172</v>
      </c>
      <c r="P70" s="145" t="s">
        <v>173</v>
      </c>
      <c r="Q70" s="129" t="s">
        <v>176</v>
      </c>
      <c r="R70" s="145" t="s">
        <v>173</v>
      </c>
      <c r="S70" s="76"/>
      <c r="T70" s="146" t="s">
        <v>256</v>
      </c>
      <c r="U70" s="129" t="s">
        <v>689</v>
      </c>
      <c r="V70" s="76"/>
      <c r="W70" s="76"/>
      <c r="X70" s="76"/>
      <c r="Y70" s="76"/>
      <c r="Z70" s="76"/>
      <c r="AA70" s="76"/>
      <c r="AB70" s="76"/>
      <c r="AC70" s="76"/>
      <c r="AD70" s="76"/>
    </row>
    <row r="71" spans="1:30">
      <c r="A71" s="143">
        <v>49</v>
      </c>
      <c r="B71" s="144">
        <v>44657</v>
      </c>
      <c r="C71" s="142" t="s">
        <v>74</v>
      </c>
      <c r="D71" s="129" t="s">
        <v>690</v>
      </c>
      <c r="E71" s="142" t="s">
        <v>445</v>
      </c>
      <c r="F71" s="129" t="s">
        <v>691</v>
      </c>
      <c r="G71" s="142" t="s">
        <v>116</v>
      </c>
      <c r="H71" s="129" t="s">
        <v>692</v>
      </c>
      <c r="I71" s="129" t="s">
        <v>693</v>
      </c>
      <c r="J71" s="129" t="s">
        <v>694</v>
      </c>
      <c r="K71" s="129" t="s">
        <v>306</v>
      </c>
      <c r="L71" s="129" t="s">
        <v>695</v>
      </c>
      <c r="M71" s="129" t="s">
        <v>172</v>
      </c>
      <c r="N71" s="145" t="s">
        <v>173</v>
      </c>
      <c r="O71" s="129" t="s">
        <v>172</v>
      </c>
      <c r="P71" s="145" t="s">
        <v>173</v>
      </c>
      <c r="Q71" s="129" t="s">
        <v>176</v>
      </c>
      <c r="R71" s="145" t="s">
        <v>173</v>
      </c>
      <c r="S71" s="76"/>
      <c r="T71" s="146" t="s">
        <v>696</v>
      </c>
      <c r="U71" s="129" t="s">
        <v>337</v>
      </c>
      <c r="V71" s="76"/>
      <c r="W71" s="76"/>
      <c r="X71" s="76"/>
      <c r="Y71" s="76"/>
      <c r="Z71" s="76"/>
      <c r="AA71" s="76"/>
      <c r="AB71" s="76"/>
      <c r="AC71" s="76"/>
      <c r="AD71" s="76"/>
    </row>
    <row r="72" spans="1:30">
      <c r="A72" s="143">
        <v>50</v>
      </c>
      <c r="B72" s="144">
        <v>44657</v>
      </c>
      <c r="C72" s="142" t="s">
        <v>75</v>
      </c>
      <c r="D72" s="129" t="s">
        <v>697</v>
      </c>
      <c r="E72" s="142" t="s">
        <v>698</v>
      </c>
      <c r="F72" s="129" t="s">
        <v>356</v>
      </c>
      <c r="G72" s="142" t="s">
        <v>116</v>
      </c>
      <c r="H72" s="129" t="s">
        <v>699</v>
      </c>
      <c r="I72" s="129" t="s">
        <v>700</v>
      </c>
      <c r="J72" s="129" t="s">
        <v>701</v>
      </c>
      <c r="K72" s="129" t="s">
        <v>292</v>
      </c>
      <c r="L72" s="129" t="s">
        <v>702</v>
      </c>
      <c r="M72" s="129" t="s">
        <v>703</v>
      </c>
      <c r="N72" s="129" t="s">
        <v>704</v>
      </c>
      <c r="O72" s="129" t="s">
        <v>172</v>
      </c>
      <c r="P72" s="145" t="s">
        <v>173</v>
      </c>
      <c r="Q72" s="129" t="s">
        <v>176</v>
      </c>
      <c r="R72" s="145" t="s">
        <v>173</v>
      </c>
      <c r="S72" s="76"/>
      <c r="T72" s="146" t="s">
        <v>326</v>
      </c>
      <c r="U72" s="129" t="s">
        <v>440</v>
      </c>
      <c r="V72" s="76"/>
      <c r="W72" s="76"/>
      <c r="X72" s="76"/>
      <c r="Y72" s="76"/>
      <c r="Z72" s="76"/>
      <c r="AA72" s="76"/>
      <c r="AB72" s="76"/>
      <c r="AC72" s="76"/>
      <c r="AD72" s="76"/>
    </row>
    <row r="73" spans="1:30">
      <c r="A73" s="143">
        <v>51</v>
      </c>
      <c r="B73" s="144">
        <v>44657</v>
      </c>
      <c r="C73" s="142" t="s">
        <v>76</v>
      </c>
      <c r="D73" s="142" t="s">
        <v>705</v>
      </c>
      <c r="E73" s="142" t="s">
        <v>706</v>
      </c>
      <c r="F73" s="142" t="s">
        <v>707</v>
      </c>
      <c r="G73" s="142" t="s">
        <v>116</v>
      </c>
      <c r="H73" s="129" t="s">
        <v>708</v>
      </c>
      <c r="I73" s="129" t="s">
        <v>709</v>
      </c>
      <c r="J73" s="129" t="s">
        <v>710</v>
      </c>
      <c r="K73" s="129" t="s">
        <v>711</v>
      </c>
      <c r="L73" s="129" t="s">
        <v>712</v>
      </c>
      <c r="M73" s="129" t="s">
        <v>713</v>
      </c>
      <c r="N73" s="129" t="s">
        <v>714</v>
      </c>
      <c r="O73" s="129" t="s">
        <v>172</v>
      </c>
      <c r="P73" s="145" t="s">
        <v>173</v>
      </c>
      <c r="Q73" s="129" t="s">
        <v>176</v>
      </c>
      <c r="R73" s="145" t="s">
        <v>173</v>
      </c>
      <c r="S73" s="76"/>
      <c r="T73" s="146" t="s">
        <v>624</v>
      </c>
      <c r="U73" s="129" t="s">
        <v>715</v>
      </c>
      <c r="V73" s="76"/>
      <c r="W73" s="76"/>
      <c r="X73" s="76"/>
      <c r="Y73" s="76"/>
      <c r="Z73" s="76"/>
      <c r="AA73" s="76"/>
      <c r="AB73" s="76"/>
      <c r="AC73" s="76"/>
      <c r="AD73" s="76"/>
    </row>
    <row r="74" spans="1:30">
      <c r="A74" s="143">
        <v>52</v>
      </c>
      <c r="B74" s="144">
        <v>44657</v>
      </c>
      <c r="C74" s="142" t="s">
        <v>77</v>
      </c>
      <c r="D74" s="142" t="s">
        <v>716</v>
      </c>
      <c r="E74" s="142" t="s">
        <v>717</v>
      </c>
      <c r="F74" s="142" t="s">
        <v>718</v>
      </c>
      <c r="G74" s="121" t="s">
        <v>116</v>
      </c>
      <c r="H74" s="129" t="s">
        <v>719</v>
      </c>
      <c r="I74" s="129" t="s">
        <v>720</v>
      </c>
      <c r="J74" s="129" t="s">
        <v>721</v>
      </c>
      <c r="K74" s="129" t="s">
        <v>722</v>
      </c>
      <c r="L74" s="129" t="s">
        <v>723</v>
      </c>
      <c r="M74" s="129" t="s">
        <v>199</v>
      </c>
      <c r="N74" s="129" t="s">
        <v>724</v>
      </c>
      <c r="O74" s="129" t="s">
        <v>172</v>
      </c>
      <c r="P74" s="145" t="s">
        <v>173</v>
      </c>
      <c r="Q74" s="129" t="s">
        <v>176</v>
      </c>
      <c r="R74" s="145" t="s">
        <v>173</v>
      </c>
      <c r="S74" s="76"/>
      <c r="T74" s="146" t="s">
        <v>725</v>
      </c>
      <c r="U74" s="129" t="s">
        <v>726</v>
      </c>
      <c r="V74" s="76"/>
      <c r="W74" s="76"/>
      <c r="X74" s="76"/>
      <c r="Y74" s="76"/>
      <c r="Z74" s="76"/>
      <c r="AA74" s="76"/>
      <c r="AB74" s="76"/>
      <c r="AC74" s="76"/>
      <c r="AD74" s="76"/>
    </row>
    <row r="75" spans="1:30">
      <c r="A75" s="143">
        <v>53</v>
      </c>
      <c r="B75" s="144">
        <v>44657</v>
      </c>
      <c r="C75" s="142" t="s">
        <v>78</v>
      </c>
      <c r="D75" s="129" t="s">
        <v>727</v>
      </c>
      <c r="E75" s="142" t="s">
        <v>728</v>
      </c>
      <c r="F75" s="129" t="s">
        <v>288</v>
      </c>
      <c r="G75" s="142" t="s">
        <v>116</v>
      </c>
      <c r="H75" s="129" t="s">
        <v>729</v>
      </c>
      <c r="I75" s="129" t="s">
        <v>730</v>
      </c>
      <c r="J75" s="129" t="s">
        <v>731</v>
      </c>
      <c r="K75" s="129" t="s">
        <v>172</v>
      </c>
      <c r="L75" s="145" t="s">
        <v>173</v>
      </c>
      <c r="M75" s="129" t="s">
        <v>172</v>
      </c>
      <c r="N75" s="145" t="s">
        <v>173</v>
      </c>
      <c r="O75" s="129" t="s">
        <v>172</v>
      </c>
      <c r="P75" s="145" t="s">
        <v>173</v>
      </c>
      <c r="Q75" s="129" t="s">
        <v>176</v>
      </c>
      <c r="R75" s="145" t="s">
        <v>173</v>
      </c>
      <c r="S75" s="76"/>
      <c r="T75" s="146" t="s">
        <v>732</v>
      </c>
      <c r="U75" s="129" t="s">
        <v>554</v>
      </c>
      <c r="V75" s="76"/>
      <c r="W75" s="76"/>
      <c r="X75" s="76"/>
      <c r="Y75" s="76"/>
      <c r="Z75" s="76"/>
      <c r="AA75" s="76"/>
      <c r="AB75" s="76"/>
      <c r="AC75" s="76"/>
      <c r="AD75" s="76"/>
    </row>
    <row r="76" spans="1:30">
      <c r="A76" s="143">
        <v>54</v>
      </c>
      <c r="B76" s="144">
        <v>44657</v>
      </c>
      <c r="C76" s="142" t="s">
        <v>79</v>
      </c>
      <c r="D76" s="129" t="s">
        <v>733</v>
      </c>
      <c r="E76" s="142" t="s">
        <v>734</v>
      </c>
      <c r="F76" s="129" t="s">
        <v>238</v>
      </c>
      <c r="G76" s="142" t="s">
        <v>116</v>
      </c>
      <c r="H76" s="129" t="s">
        <v>735</v>
      </c>
      <c r="I76" s="129" t="s">
        <v>736</v>
      </c>
      <c r="J76" s="129" t="s">
        <v>737</v>
      </c>
      <c r="K76" s="129" t="s">
        <v>567</v>
      </c>
      <c r="L76" s="129" t="s">
        <v>738</v>
      </c>
      <c r="M76" s="129" t="s">
        <v>384</v>
      </c>
      <c r="N76" s="129" t="s">
        <v>739</v>
      </c>
      <c r="O76" s="129" t="s">
        <v>172</v>
      </c>
      <c r="P76" s="145" t="s">
        <v>173</v>
      </c>
      <c r="Q76" s="129" t="s">
        <v>176</v>
      </c>
      <c r="R76" s="145" t="s">
        <v>173</v>
      </c>
      <c r="S76" s="76"/>
      <c r="T76" s="146" t="s">
        <v>361</v>
      </c>
      <c r="U76" s="145" t="s">
        <v>173</v>
      </c>
      <c r="V76" s="76"/>
      <c r="W76" s="76"/>
      <c r="X76" s="76"/>
      <c r="Y76" s="76"/>
      <c r="Z76" s="76"/>
      <c r="AA76" s="76"/>
      <c r="AB76" s="76"/>
      <c r="AC76" s="76"/>
      <c r="AD76" s="76"/>
    </row>
    <row r="77" spans="1:30">
      <c r="A77" s="143">
        <v>55</v>
      </c>
      <c r="B77" s="144">
        <v>44664</v>
      </c>
      <c r="C77" s="142" t="s">
        <v>23</v>
      </c>
      <c r="D77" s="129" t="s">
        <v>740</v>
      </c>
      <c r="E77" s="142" t="s">
        <v>741</v>
      </c>
      <c r="F77" s="129" t="s">
        <v>742</v>
      </c>
      <c r="G77" s="142" t="s">
        <v>116</v>
      </c>
      <c r="H77" s="129" t="s">
        <v>743</v>
      </c>
      <c r="I77" s="129" t="s">
        <v>744</v>
      </c>
      <c r="J77" s="129" t="s">
        <v>202</v>
      </c>
      <c r="K77" s="129" t="s">
        <v>685</v>
      </c>
      <c r="L77" s="129" t="s">
        <v>745</v>
      </c>
      <c r="M77" s="129" t="s">
        <v>172</v>
      </c>
      <c r="N77" s="145" t="s">
        <v>173</v>
      </c>
      <c r="O77" s="129" t="s">
        <v>339</v>
      </c>
      <c r="P77" s="129" t="s">
        <v>746</v>
      </c>
      <c r="Q77" s="129" t="s">
        <v>176</v>
      </c>
      <c r="R77" s="145" t="s">
        <v>173</v>
      </c>
      <c r="S77" s="76"/>
      <c r="T77" s="146" t="s">
        <v>747</v>
      </c>
      <c r="U77" s="129" t="s">
        <v>527</v>
      </c>
      <c r="V77" s="76"/>
      <c r="W77" s="76"/>
      <c r="X77" s="76"/>
      <c r="Y77" s="76"/>
      <c r="Z77" s="76"/>
      <c r="AA77" s="76"/>
      <c r="AB77" s="76"/>
      <c r="AC77" s="76"/>
      <c r="AD77" s="76"/>
    </row>
    <row r="78" spans="1:30">
      <c r="A78" s="143">
        <v>56</v>
      </c>
      <c r="B78" s="144">
        <v>44664</v>
      </c>
      <c r="C78" s="142" t="s">
        <v>27</v>
      </c>
      <c r="D78" s="129" t="s">
        <v>748</v>
      </c>
      <c r="E78" s="142" t="s">
        <v>749</v>
      </c>
      <c r="F78" s="129" t="s">
        <v>750</v>
      </c>
      <c r="G78" s="142" t="s">
        <v>116</v>
      </c>
      <c r="H78" s="129" t="s">
        <v>751</v>
      </c>
      <c r="I78" s="129" t="s">
        <v>752</v>
      </c>
      <c r="J78" s="129" t="s">
        <v>753</v>
      </c>
      <c r="K78" s="129" t="s">
        <v>328</v>
      </c>
      <c r="L78" s="129" t="s">
        <v>754</v>
      </c>
      <c r="M78" s="129" t="s">
        <v>172</v>
      </c>
      <c r="N78" s="145" t="s">
        <v>173</v>
      </c>
      <c r="O78" s="129" t="s">
        <v>755</v>
      </c>
      <c r="P78" s="129" t="s">
        <v>756</v>
      </c>
      <c r="Q78" s="129" t="s">
        <v>176</v>
      </c>
      <c r="R78" s="145" t="s">
        <v>173</v>
      </c>
      <c r="S78" s="76"/>
      <c r="T78" s="146" t="s">
        <v>757</v>
      </c>
      <c r="U78" s="129" t="s">
        <v>758</v>
      </c>
      <c r="V78" s="76"/>
      <c r="W78" s="76"/>
      <c r="X78" s="76"/>
      <c r="Y78" s="76"/>
      <c r="Z78" s="76"/>
      <c r="AA78" s="76"/>
      <c r="AB78" s="76"/>
      <c r="AC78" s="76"/>
      <c r="AD78" s="76"/>
    </row>
    <row r="79" spans="1:30">
      <c r="A79" s="143">
        <v>57</v>
      </c>
      <c r="B79" s="144">
        <v>44664</v>
      </c>
      <c r="C79" s="142" t="s">
        <v>30</v>
      </c>
      <c r="D79" s="129" t="s">
        <v>759</v>
      </c>
      <c r="E79" s="142" t="s">
        <v>760</v>
      </c>
      <c r="F79" s="129" t="s">
        <v>758</v>
      </c>
      <c r="G79" s="142" t="s">
        <v>116</v>
      </c>
      <c r="H79" s="129" t="s">
        <v>761</v>
      </c>
      <c r="I79" s="129" t="s">
        <v>762</v>
      </c>
      <c r="J79" s="129" t="s">
        <v>763</v>
      </c>
      <c r="K79" s="129" t="s">
        <v>764</v>
      </c>
      <c r="L79" s="129" t="s">
        <v>765</v>
      </c>
      <c r="M79" s="129" t="s">
        <v>172</v>
      </c>
      <c r="N79" s="145" t="s">
        <v>173</v>
      </c>
      <c r="O79" s="129" t="s">
        <v>766</v>
      </c>
      <c r="P79" s="129" t="s">
        <v>767</v>
      </c>
      <c r="Q79" s="129" t="s">
        <v>768</v>
      </c>
      <c r="R79" s="129" t="s">
        <v>769</v>
      </c>
      <c r="S79" s="76"/>
      <c r="T79" s="146" t="s">
        <v>770</v>
      </c>
      <c r="U79" s="129" t="s">
        <v>477</v>
      </c>
      <c r="V79" s="76"/>
      <c r="W79" s="76"/>
      <c r="X79" s="76"/>
      <c r="Y79" s="76"/>
      <c r="Z79" s="76"/>
      <c r="AA79" s="76"/>
      <c r="AB79" s="76"/>
      <c r="AC79" s="76"/>
      <c r="AD79" s="76"/>
    </row>
    <row r="80" spans="1:30">
      <c r="A80" s="143">
        <v>58</v>
      </c>
      <c r="B80" s="144">
        <v>44664</v>
      </c>
      <c r="C80" s="142" t="s">
        <v>32</v>
      </c>
      <c r="D80" s="129" t="s">
        <v>771</v>
      </c>
      <c r="E80" s="142" t="s">
        <v>772</v>
      </c>
      <c r="F80" s="129" t="s">
        <v>773</v>
      </c>
      <c r="G80" s="142" t="s">
        <v>116</v>
      </c>
      <c r="H80" s="129" t="s">
        <v>774</v>
      </c>
      <c r="I80" s="129" t="s">
        <v>775</v>
      </c>
      <c r="J80" s="129" t="s">
        <v>776</v>
      </c>
      <c r="K80" s="129" t="s">
        <v>777</v>
      </c>
      <c r="L80" s="129" t="s">
        <v>778</v>
      </c>
      <c r="M80" s="129" t="s">
        <v>172</v>
      </c>
      <c r="N80" s="145" t="s">
        <v>173</v>
      </c>
      <c r="O80" s="129" t="s">
        <v>779</v>
      </c>
      <c r="P80" s="129" t="s">
        <v>780</v>
      </c>
      <c r="Q80" s="129" t="s">
        <v>176</v>
      </c>
      <c r="R80" s="145" t="s">
        <v>173</v>
      </c>
      <c r="S80" s="76"/>
      <c r="T80" s="146" t="s">
        <v>781</v>
      </c>
      <c r="U80" s="129" t="s">
        <v>661</v>
      </c>
      <c r="V80" s="76"/>
      <c r="W80" s="76"/>
      <c r="X80" s="76"/>
      <c r="Y80" s="76"/>
      <c r="Z80" s="76"/>
      <c r="AA80" s="76"/>
      <c r="AB80" s="76"/>
      <c r="AC80" s="76"/>
      <c r="AD80" s="76"/>
    </row>
    <row r="81" spans="1:30">
      <c r="A81" s="143">
        <v>59</v>
      </c>
      <c r="B81" s="144">
        <v>44664</v>
      </c>
      <c r="C81" s="142" t="s">
        <v>34</v>
      </c>
      <c r="D81" s="129" t="s">
        <v>782</v>
      </c>
      <c r="E81" s="142" t="s">
        <v>783</v>
      </c>
      <c r="F81" s="129" t="s">
        <v>238</v>
      </c>
      <c r="G81" s="142" t="s">
        <v>116</v>
      </c>
      <c r="H81" s="129" t="s">
        <v>784</v>
      </c>
      <c r="I81" s="129" t="s">
        <v>785</v>
      </c>
      <c r="J81" s="129" t="s">
        <v>773</v>
      </c>
      <c r="K81" s="129" t="s">
        <v>777</v>
      </c>
      <c r="L81" s="129" t="s">
        <v>257</v>
      </c>
      <c r="M81" s="129" t="s">
        <v>172</v>
      </c>
      <c r="N81" s="145" t="s">
        <v>173</v>
      </c>
      <c r="O81" s="129" t="s">
        <v>786</v>
      </c>
      <c r="P81" s="129" t="s">
        <v>787</v>
      </c>
      <c r="Q81" s="129" t="s">
        <v>176</v>
      </c>
      <c r="R81" s="145" t="s">
        <v>173</v>
      </c>
      <c r="S81" s="76"/>
      <c r="T81" s="146" t="s">
        <v>788</v>
      </c>
      <c r="U81" s="129" t="s">
        <v>789</v>
      </c>
      <c r="V81" s="76"/>
      <c r="W81" s="76"/>
      <c r="X81" s="76"/>
      <c r="Y81" s="76"/>
      <c r="Z81" s="76"/>
      <c r="AA81" s="76"/>
      <c r="AB81" s="76"/>
      <c r="AC81" s="76"/>
      <c r="AD81" s="76"/>
    </row>
    <row r="82" spans="1:30">
      <c r="A82" s="143">
        <v>60</v>
      </c>
      <c r="B82" s="144">
        <v>44664</v>
      </c>
      <c r="C82" s="142" t="s">
        <v>35</v>
      </c>
      <c r="D82" s="129" t="s">
        <v>790</v>
      </c>
      <c r="E82" s="142" t="s">
        <v>791</v>
      </c>
      <c r="F82" s="129" t="s">
        <v>575</v>
      </c>
      <c r="G82" s="142" t="s">
        <v>116</v>
      </c>
      <c r="H82" s="129" t="s">
        <v>792</v>
      </c>
      <c r="I82" s="129" t="s">
        <v>793</v>
      </c>
      <c r="J82" s="129" t="s">
        <v>794</v>
      </c>
      <c r="K82" s="129" t="s">
        <v>391</v>
      </c>
      <c r="L82" s="129" t="s">
        <v>795</v>
      </c>
      <c r="M82" s="129" t="s">
        <v>172</v>
      </c>
      <c r="N82" s="145" t="s">
        <v>173</v>
      </c>
      <c r="O82" s="129" t="s">
        <v>339</v>
      </c>
      <c r="P82" s="129" t="s">
        <v>796</v>
      </c>
      <c r="Q82" s="129" t="s">
        <v>176</v>
      </c>
      <c r="R82" s="145" t="s">
        <v>173</v>
      </c>
      <c r="S82" s="76"/>
      <c r="T82" s="146" t="s">
        <v>225</v>
      </c>
      <c r="U82" s="129" t="s">
        <v>797</v>
      </c>
      <c r="V82" s="76"/>
      <c r="W82" s="76"/>
      <c r="X82" s="76"/>
      <c r="Y82" s="76"/>
      <c r="Z82" s="76"/>
      <c r="AA82" s="76"/>
      <c r="AB82" s="76"/>
      <c r="AC82" s="76"/>
      <c r="AD82" s="76"/>
    </row>
    <row r="83" spans="1:30">
      <c r="A83" s="143">
        <v>61</v>
      </c>
      <c r="B83" s="144">
        <v>44664</v>
      </c>
      <c r="C83" s="142" t="s">
        <v>36</v>
      </c>
      <c r="D83" s="142" t="s">
        <v>798</v>
      </c>
      <c r="E83" s="142" t="s">
        <v>799</v>
      </c>
      <c r="F83" s="142" t="s">
        <v>337</v>
      </c>
      <c r="G83" s="142" t="s">
        <v>116</v>
      </c>
      <c r="H83" s="129" t="s">
        <v>800</v>
      </c>
      <c r="I83" s="129" t="s">
        <v>479</v>
      </c>
      <c r="J83" s="129" t="s">
        <v>801</v>
      </c>
      <c r="K83" s="129" t="s">
        <v>711</v>
      </c>
      <c r="L83" s="129" t="s">
        <v>802</v>
      </c>
      <c r="M83" s="129" t="s">
        <v>172</v>
      </c>
      <c r="N83" s="145" t="s">
        <v>173</v>
      </c>
      <c r="O83" s="129" t="s">
        <v>431</v>
      </c>
      <c r="P83" s="129" t="s">
        <v>803</v>
      </c>
      <c r="Q83" s="129" t="s">
        <v>176</v>
      </c>
      <c r="R83" s="145" t="s">
        <v>173</v>
      </c>
      <c r="S83" s="76"/>
      <c r="T83" s="146" t="s">
        <v>804</v>
      </c>
      <c r="U83" s="129" t="s">
        <v>406</v>
      </c>
      <c r="V83" s="76"/>
      <c r="W83" s="76"/>
      <c r="X83" s="76"/>
      <c r="Y83" s="76"/>
      <c r="Z83" s="76"/>
      <c r="AA83" s="76"/>
      <c r="AB83" s="76"/>
      <c r="AC83" s="76"/>
      <c r="AD83" s="76"/>
    </row>
    <row r="84" spans="1:30">
      <c r="A84" s="143">
        <v>62</v>
      </c>
      <c r="B84" s="144">
        <v>44664</v>
      </c>
      <c r="C84" s="142" t="s">
        <v>37</v>
      </c>
      <c r="D84" s="142" t="s">
        <v>805</v>
      </c>
      <c r="E84" s="142" t="s">
        <v>806</v>
      </c>
      <c r="F84" s="142" t="s">
        <v>807</v>
      </c>
      <c r="G84" s="121" t="s">
        <v>116</v>
      </c>
      <c r="H84" s="129" t="s">
        <v>808</v>
      </c>
      <c r="I84" s="129" t="s">
        <v>809</v>
      </c>
      <c r="J84" s="129" t="s">
        <v>641</v>
      </c>
      <c r="K84" s="129" t="s">
        <v>157</v>
      </c>
      <c r="L84" s="129" t="s">
        <v>810</v>
      </c>
      <c r="M84" s="129" t="s">
        <v>172</v>
      </c>
      <c r="N84" s="145" t="s">
        <v>173</v>
      </c>
      <c r="O84" s="129" t="s">
        <v>811</v>
      </c>
      <c r="P84" s="129" t="s">
        <v>812</v>
      </c>
      <c r="Q84" s="129" t="s">
        <v>176</v>
      </c>
      <c r="R84" s="145" t="s">
        <v>173</v>
      </c>
      <c r="S84" s="76"/>
      <c r="T84" s="146" t="s">
        <v>813</v>
      </c>
      <c r="U84" s="129" t="s">
        <v>497</v>
      </c>
      <c r="V84" s="76"/>
      <c r="W84" s="76"/>
      <c r="X84" s="76"/>
      <c r="Y84" s="76"/>
      <c r="Z84" s="76"/>
      <c r="AA84" s="76"/>
      <c r="AB84" s="76"/>
      <c r="AC84" s="76"/>
      <c r="AD84" s="76"/>
    </row>
    <row r="85" spans="1:30">
      <c r="A85" s="143">
        <v>63</v>
      </c>
      <c r="B85" s="144">
        <v>44664</v>
      </c>
      <c r="C85" s="142" t="s">
        <v>38</v>
      </c>
      <c r="D85" s="129" t="s">
        <v>814</v>
      </c>
      <c r="E85" s="142" t="s">
        <v>815</v>
      </c>
      <c r="F85" s="129" t="s">
        <v>193</v>
      </c>
      <c r="G85" s="142" t="s">
        <v>116</v>
      </c>
      <c r="H85" s="129" t="s">
        <v>816</v>
      </c>
      <c r="I85" s="129" t="s">
        <v>817</v>
      </c>
      <c r="J85" s="129" t="s">
        <v>818</v>
      </c>
      <c r="K85" s="129" t="s">
        <v>779</v>
      </c>
      <c r="L85" s="129" t="s">
        <v>819</v>
      </c>
      <c r="M85" s="129" t="s">
        <v>172</v>
      </c>
      <c r="N85" s="145" t="s">
        <v>173</v>
      </c>
      <c r="O85" s="129" t="s">
        <v>820</v>
      </c>
      <c r="P85" s="129" t="s">
        <v>821</v>
      </c>
      <c r="Q85" s="129" t="s">
        <v>176</v>
      </c>
      <c r="R85" s="145" t="s">
        <v>173</v>
      </c>
      <c r="S85" s="76"/>
      <c r="T85" s="146" t="s">
        <v>822</v>
      </c>
      <c r="U85" s="129" t="s">
        <v>823</v>
      </c>
      <c r="V85" s="76"/>
      <c r="W85" s="76"/>
      <c r="X85" s="76"/>
      <c r="Y85" s="76"/>
      <c r="Z85" s="76"/>
      <c r="AA85" s="76"/>
      <c r="AB85" s="76"/>
      <c r="AC85" s="76"/>
      <c r="AD85" s="76"/>
    </row>
    <row r="86" spans="1:30">
      <c r="A86" s="143">
        <v>64</v>
      </c>
      <c r="B86" s="144">
        <v>44664</v>
      </c>
      <c r="C86" s="142" t="s">
        <v>39</v>
      </c>
      <c r="D86" s="129" t="s">
        <v>824</v>
      </c>
      <c r="E86" s="142" t="s">
        <v>825</v>
      </c>
      <c r="F86" s="129" t="s">
        <v>826</v>
      </c>
      <c r="G86" s="142" t="s">
        <v>116</v>
      </c>
      <c r="H86" s="129" t="s">
        <v>827</v>
      </c>
      <c r="I86" s="129" t="s">
        <v>828</v>
      </c>
      <c r="J86" s="129" t="s">
        <v>810</v>
      </c>
      <c r="K86" s="129" t="s">
        <v>379</v>
      </c>
      <c r="L86" s="129" t="s">
        <v>829</v>
      </c>
      <c r="M86" s="129" t="s">
        <v>172</v>
      </c>
      <c r="N86" s="145" t="s">
        <v>173</v>
      </c>
      <c r="O86" s="129" t="s">
        <v>766</v>
      </c>
      <c r="P86" s="129" t="s">
        <v>830</v>
      </c>
      <c r="Q86" s="129" t="s">
        <v>176</v>
      </c>
      <c r="R86" s="145" t="s">
        <v>173</v>
      </c>
      <c r="S86" s="76"/>
      <c r="T86" s="146" t="s">
        <v>831</v>
      </c>
      <c r="U86" s="129" t="s">
        <v>832</v>
      </c>
      <c r="V86" s="76"/>
      <c r="W86" s="76"/>
      <c r="X86" s="76"/>
      <c r="Y86" s="76"/>
      <c r="Z86" s="76"/>
      <c r="AA86" s="76"/>
      <c r="AB86" s="76"/>
      <c r="AC86" s="76"/>
      <c r="AD86" s="76"/>
    </row>
    <row r="87" spans="1:30">
      <c r="A87" s="143">
        <v>65</v>
      </c>
      <c r="B87" s="144">
        <v>44664</v>
      </c>
      <c r="C87" s="142" t="s">
        <v>40</v>
      </c>
      <c r="D87" s="129" t="s">
        <v>833</v>
      </c>
      <c r="E87" s="142" t="s">
        <v>834</v>
      </c>
      <c r="F87" s="129" t="s">
        <v>630</v>
      </c>
      <c r="G87" s="142" t="s">
        <v>116</v>
      </c>
      <c r="H87" s="129" t="s">
        <v>835</v>
      </c>
      <c r="I87" s="129" t="s">
        <v>836</v>
      </c>
      <c r="J87" s="129" t="s">
        <v>837</v>
      </c>
      <c r="K87" s="129" t="s">
        <v>449</v>
      </c>
      <c r="L87" s="129" t="s">
        <v>838</v>
      </c>
      <c r="M87" s="129" t="s">
        <v>172</v>
      </c>
      <c r="N87" s="145" t="s">
        <v>173</v>
      </c>
      <c r="O87" s="129" t="s">
        <v>353</v>
      </c>
      <c r="P87" s="129" t="s">
        <v>839</v>
      </c>
      <c r="Q87" s="129" t="s">
        <v>176</v>
      </c>
      <c r="R87" s="145" t="s">
        <v>173</v>
      </c>
      <c r="S87" s="76"/>
      <c r="T87" s="146" t="s">
        <v>840</v>
      </c>
      <c r="U87" s="129" t="s">
        <v>841</v>
      </c>
      <c r="V87" s="76"/>
      <c r="W87" s="76"/>
      <c r="X87" s="76"/>
      <c r="Y87" s="76"/>
      <c r="Z87" s="76"/>
      <c r="AA87" s="76"/>
      <c r="AB87" s="76"/>
      <c r="AC87" s="76"/>
      <c r="AD87" s="76"/>
    </row>
    <row r="88" spans="1:30">
      <c r="A88" s="143">
        <v>66</v>
      </c>
      <c r="B88" s="144">
        <v>44664</v>
      </c>
      <c r="C88" s="142" t="s">
        <v>41</v>
      </c>
      <c r="D88" s="129" t="s">
        <v>842</v>
      </c>
      <c r="E88" s="142" t="s">
        <v>843</v>
      </c>
      <c r="F88" s="129" t="s">
        <v>319</v>
      </c>
      <c r="G88" s="142" t="s">
        <v>116</v>
      </c>
      <c r="H88" s="129" t="s">
        <v>844</v>
      </c>
      <c r="I88" s="129" t="s">
        <v>845</v>
      </c>
      <c r="J88" s="129" t="s">
        <v>846</v>
      </c>
      <c r="K88" s="129" t="s">
        <v>703</v>
      </c>
      <c r="L88" s="129" t="s">
        <v>847</v>
      </c>
      <c r="M88" s="129" t="s">
        <v>172</v>
      </c>
      <c r="N88" s="145" t="s">
        <v>173</v>
      </c>
      <c r="O88" s="129" t="s">
        <v>469</v>
      </c>
      <c r="P88" s="129" t="s">
        <v>721</v>
      </c>
      <c r="Q88" s="129" t="s">
        <v>176</v>
      </c>
      <c r="R88" s="145" t="s">
        <v>173</v>
      </c>
      <c r="S88" s="76"/>
      <c r="T88" s="146" t="s">
        <v>848</v>
      </c>
      <c r="U88" s="129" t="s">
        <v>412</v>
      </c>
      <c r="V88" s="76"/>
      <c r="W88" s="76"/>
      <c r="X88" s="76"/>
      <c r="Y88" s="76"/>
      <c r="Z88" s="76"/>
      <c r="AA88" s="76"/>
      <c r="AB88" s="76"/>
      <c r="AC88" s="76"/>
      <c r="AD88" s="76"/>
    </row>
    <row r="89" spans="1:30">
      <c r="A89" s="143">
        <v>67</v>
      </c>
      <c r="B89" s="144">
        <v>44664</v>
      </c>
      <c r="C89" s="142" t="s">
        <v>42</v>
      </c>
      <c r="D89" s="129" t="s">
        <v>849</v>
      </c>
      <c r="E89" s="142" t="s">
        <v>850</v>
      </c>
      <c r="F89" s="129" t="s">
        <v>519</v>
      </c>
      <c r="G89" s="142" t="s">
        <v>116</v>
      </c>
      <c r="H89" s="129" t="s">
        <v>851</v>
      </c>
      <c r="I89" s="129" t="s">
        <v>852</v>
      </c>
      <c r="J89" s="129" t="s">
        <v>853</v>
      </c>
      <c r="K89" s="129" t="s">
        <v>854</v>
      </c>
      <c r="L89" s="129" t="s">
        <v>855</v>
      </c>
      <c r="M89" s="129" t="s">
        <v>172</v>
      </c>
      <c r="N89" s="145" t="s">
        <v>173</v>
      </c>
      <c r="O89" s="129" t="s">
        <v>469</v>
      </c>
      <c r="P89" s="129" t="s">
        <v>856</v>
      </c>
      <c r="Q89" s="129" t="s">
        <v>176</v>
      </c>
      <c r="R89" s="145" t="s">
        <v>173</v>
      </c>
      <c r="S89" s="76"/>
      <c r="T89" s="146" t="s">
        <v>857</v>
      </c>
      <c r="U89" s="129" t="s">
        <v>364</v>
      </c>
      <c r="V89" s="76"/>
      <c r="W89" s="76"/>
      <c r="X89" s="76"/>
      <c r="Y89" s="76"/>
      <c r="Z89" s="76"/>
      <c r="AA89" s="76"/>
      <c r="AB89" s="76"/>
      <c r="AC89" s="76"/>
      <c r="AD89" s="76"/>
    </row>
    <row r="90" spans="1:30">
      <c r="A90" s="143">
        <v>68</v>
      </c>
      <c r="B90" s="144">
        <v>44664</v>
      </c>
      <c r="C90" s="142" t="s">
        <v>43</v>
      </c>
      <c r="D90" s="129" t="s">
        <v>858</v>
      </c>
      <c r="E90" s="142" t="s">
        <v>859</v>
      </c>
      <c r="F90" s="129" t="s">
        <v>860</v>
      </c>
      <c r="G90" s="142" t="s">
        <v>116</v>
      </c>
      <c r="H90" s="129" t="s">
        <v>861</v>
      </c>
      <c r="I90" s="129" t="s">
        <v>862</v>
      </c>
      <c r="J90" s="129" t="s">
        <v>689</v>
      </c>
      <c r="K90" s="129" t="s">
        <v>863</v>
      </c>
      <c r="L90" s="129" t="s">
        <v>472</v>
      </c>
      <c r="M90" s="129" t="s">
        <v>172</v>
      </c>
      <c r="N90" s="145" t="s">
        <v>173</v>
      </c>
      <c r="O90" s="129" t="s">
        <v>543</v>
      </c>
      <c r="P90" s="129" t="s">
        <v>864</v>
      </c>
      <c r="Q90" s="129" t="s">
        <v>176</v>
      </c>
      <c r="R90" s="145" t="s">
        <v>173</v>
      </c>
      <c r="S90" s="76"/>
      <c r="T90" s="146" t="s">
        <v>865</v>
      </c>
      <c r="U90" s="129" t="s">
        <v>238</v>
      </c>
      <c r="V90" s="76"/>
      <c r="W90" s="76"/>
      <c r="X90" s="76"/>
      <c r="Y90" s="76"/>
      <c r="Z90" s="76"/>
      <c r="AA90" s="76"/>
      <c r="AB90" s="76"/>
      <c r="AC90" s="76"/>
      <c r="AD90" s="76"/>
    </row>
    <row r="91" spans="1:30">
      <c r="A91" s="143">
        <v>69</v>
      </c>
      <c r="B91" s="144">
        <v>44664</v>
      </c>
      <c r="C91" s="142" t="s">
        <v>44</v>
      </c>
      <c r="D91" s="129" t="s">
        <v>866</v>
      </c>
      <c r="E91" s="142" t="s">
        <v>867</v>
      </c>
      <c r="F91" s="129" t="s">
        <v>868</v>
      </c>
      <c r="G91" s="142" t="s">
        <v>116</v>
      </c>
      <c r="H91" s="129" t="s">
        <v>869</v>
      </c>
      <c r="I91" s="129" t="s">
        <v>870</v>
      </c>
      <c r="J91" s="129" t="s">
        <v>871</v>
      </c>
      <c r="K91" s="129" t="s">
        <v>282</v>
      </c>
      <c r="L91" s="129" t="s">
        <v>872</v>
      </c>
      <c r="M91" s="129" t="s">
        <v>172</v>
      </c>
      <c r="N91" s="145" t="s">
        <v>173</v>
      </c>
      <c r="O91" s="129" t="s">
        <v>674</v>
      </c>
      <c r="P91" s="129" t="s">
        <v>873</v>
      </c>
      <c r="Q91" s="129" t="s">
        <v>176</v>
      </c>
      <c r="R91" s="145" t="s">
        <v>173</v>
      </c>
      <c r="S91" s="76"/>
      <c r="T91" s="146" t="s">
        <v>874</v>
      </c>
      <c r="U91" s="129" t="s">
        <v>875</v>
      </c>
      <c r="V91" s="76"/>
      <c r="W91" s="76"/>
      <c r="X91" s="76"/>
      <c r="Y91" s="76"/>
      <c r="Z91" s="76"/>
      <c r="AA91" s="76"/>
      <c r="AB91" s="76"/>
      <c r="AC91" s="76"/>
      <c r="AD91" s="76"/>
    </row>
    <row r="92" spans="1:30">
      <c r="A92" s="143">
        <v>70</v>
      </c>
      <c r="B92" s="144">
        <v>44664</v>
      </c>
      <c r="C92" s="142" t="s">
        <v>68</v>
      </c>
      <c r="D92" s="129" t="s">
        <v>876</v>
      </c>
      <c r="E92" s="142" t="s">
        <v>877</v>
      </c>
      <c r="F92" s="129" t="s">
        <v>878</v>
      </c>
      <c r="G92" s="142" t="s">
        <v>116</v>
      </c>
      <c r="H92" s="129" t="s">
        <v>879</v>
      </c>
      <c r="I92" s="129" t="s">
        <v>880</v>
      </c>
      <c r="J92" s="129" t="s">
        <v>881</v>
      </c>
      <c r="K92" s="129" t="s">
        <v>882</v>
      </c>
      <c r="L92" s="129" t="s">
        <v>883</v>
      </c>
      <c r="M92" s="129" t="s">
        <v>884</v>
      </c>
      <c r="N92" s="129" t="s">
        <v>885</v>
      </c>
      <c r="O92" s="129" t="s">
        <v>172</v>
      </c>
      <c r="P92" s="145" t="s">
        <v>173</v>
      </c>
      <c r="Q92" s="129" t="s">
        <v>176</v>
      </c>
      <c r="R92" s="145" t="s">
        <v>173</v>
      </c>
      <c r="S92" s="76"/>
      <c r="T92" s="146" t="s">
        <v>886</v>
      </c>
      <c r="U92" s="129" t="s">
        <v>887</v>
      </c>
      <c r="V92" s="76"/>
      <c r="W92" s="76"/>
      <c r="X92" s="76"/>
      <c r="Y92" s="76"/>
      <c r="Z92" s="76"/>
      <c r="AA92" s="76"/>
      <c r="AB92" s="76"/>
      <c r="AC92" s="76"/>
      <c r="AD92" s="76"/>
    </row>
    <row r="93" spans="1:30">
      <c r="A93" s="143">
        <v>71</v>
      </c>
      <c r="B93" s="144">
        <v>44664</v>
      </c>
      <c r="C93" s="142" t="s">
        <v>69</v>
      </c>
      <c r="D93" s="142" t="s">
        <v>888</v>
      </c>
      <c r="E93" s="142" t="s">
        <v>889</v>
      </c>
      <c r="F93" s="142" t="s">
        <v>890</v>
      </c>
      <c r="G93" s="142" t="s">
        <v>116</v>
      </c>
      <c r="H93" s="129" t="s">
        <v>891</v>
      </c>
      <c r="I93" s="129" t="s">
        <v>892</v>
      </c>
      <c r="J93" s="129" t="s">
        <v>893</v>
      </c>
      <c r="K93" s="129" t="s">
        <v>894</v>
      </c>
      <c r="L93" s="129" t="s">
        <v>895</v>
      </c>
      <c r="M93" s="129" t="s">
        <v>431</v>
      </c>
      <c r="N93" s="129" t="s">
        <v>186</v>
      </c>
      <c r="O93" s="129" t="s">
        <v>172</v>
      </c>
      <c r="P93" s="145" t="s">
        <v>173</v>
      </c>
      <c r="Q93" s="129" t="s">
        <v>176</v>
      </c>
      <c r="R93" s="145" t="s">
        <v>173</v>
      </c>
      <c r="S93" s="76"/>
      <c r="T93" s="146" t="s">
        <v>699</v>
      </c>
      <c r="U93" s="129" t="s">
        <v>613</v>
      </c>
      <c r="V93" s="76"/>
      <c r="W93" s="76"/>
      <c r="X93" s="76"/>
      <c r="Y93" s="76"/>
      <c r="Z93" s="76"/>
      <c r="AA93" s="76"/>
      <c r="AB93" s="76"/>
      <c r="AC93" s="76"/>
      <c r="AD93" s="76"/>
    </row>
    <row r="94" spans="1:30">
      <c r="A94" s="143">
        <v>72</v>
      </c>
      <c r="B94" s="144">
        <v>44664</v>
      </c>
      <c r="C94" s="142" t="s">
        <v>70</v>
      </c>
      <c r="D94" s="142" t="s">
        <v>896</v>
      </c>
      <c r="E94" s="142" t="s">
        <v>897</v>
      </c>
      <c r="F94" s="142" t="s">
        <v>898</v>
      </c>
      <c r="G94" s="121" t="s">
        <v>116</v>
      </c>
      <c r="H94" s="129" t="s">
        <v>899</v>
      </c>
      <c r="I94" s="129" t="s">
        <v>900</v>
      </c>
      <c r="J94" s="129" t="s">
        <v>901</v>
      </c>
      <c r="K94" s="129" t="s">
        <v>902</v>
      </c>
      <c r="L94" s="129" t="s">
        <v>452</v>
      </c>
      <c r="M94" s="129" t="s">
        <v>903</v>
      </c>
      <c r="N94" s="129" t="s">
        <v>893</v>
      </c>
      <c r="O94" s="129" t="s">
        <v>633</v>
      </c>
      <c r="P94" s="129" t="s">
        <v>214</v>
      </c>
      <c r="Q94" s="129" t="s">
        <v>176</v>
      </c>
      <c r="R94" s="145" t="s">
        <v>173</v>
      </c>
      <c r="S94" s="76"/>
      <c r="T94" s="146" t="s">
        <v>361</v>
      </c>
      <c r="U94" s="145" t="s">
        <v>173</v>
      </c>
      <c r="V94" s="76"/>
      <c r="W94" s="76"/>
      <c r="X94" s="76"/>
      <c r="Y94" s="76"/>
      <c r="Z94" s="76"/>
      <c r="AA94" s="76"/>
      <c r="AB94" s="76"/>
      <c r="AC94" s="76"/>
      <c r="AD94" s="76"/>
    </row>
    <row r="95" spans="1:30">
      <c r="A95" s="143">
        <v>73</v>
      </c>
      <c r="B95" s="144">
        <v>44664</v>
      </c>
      <c r="C95" s="142" t="s">
        <v>71</v>
      </c>
      <c r="D95" s="129" t="s">
        <v>904</v>
      </c>
      <c r="E95" s="142" t="s">
        <v>905</v>
      </c>
      <c r="F95" s="129" t="s">
        <v>906</v>
      </c>
      <c r="G95" s="142" t="s">
        <v>116</v>
      </c>
      <c r="H95" s="129" t="s">
        <v>907</v>
      </c>
      <c r="I95" s="129" t="s">
        <v>908</v>
      </c>
      <c r="J95" s="129" t="s">
        <v>909</v>
      </c>
      <c r="K95" s="129" t="s">
        <v>910</v>
      </c>
      <c r="L95" s="129" t="s">
        <v>911</v>
      </c>
      <c r="M95" s="129" t="s">
        <v>912</v>
      </c>
      <c r="N95" s="129" t="s">
        <v>913</v>
      </c>
      <c r="O95" s="129" t="s">
        <v>172</v>
      </c>
      <c r="P95" s="145" t="s">
        <v>173</v>
      </c>
      <c r="Q95" s="129" t="s">
        <v>176</v>
      </c>
      <c r="R95" s="145" t="s">
        <v>173</v>
      </c>
      <c r="S95" s="76"/>
      <c r="T95" s="146" t="s">
        <v>349</v>
      </c>
      <c r="U95" s="129" t="s">
        <v>914</v>
      </c>
      <c r="V95" s="76"/>
      <c r="W95" s="76"/>
      <c r="X95" s="76"/>
      <c r="Y95" s="76"/>
      <c r="Z95" s="76"/>
      <c r="AA95" s="76"/>
      <c r="AB95" s="76"/>
      <c r="AC95" s="76"/>
      <c r="AD95" s="76"/>
    </row>
    <row r="96" spans="1:30">
      <c r="A96" s="143">
        <v>74</v>
      </c>
      <c r="B96" s="144">
        <v>44664</v>
      </c>
      <c r="C96" s="142" t="s">
        <v>72</v>
      </c>
      <c r="D96" s="129" t="s">
        <v>915</v>
      </c>
      <c r="E96" s="142" t="s">
        <v>916</v>
      </c>
      <c r="F96" s="129" t="s">
        <v>917</v>
      </c>
      <c r="G96" s="142" t="s">
        <v>116</v>
      </c>
      <c r="H96" s="129" t="s">
        <v>918</v>
      </c>
      <c r="I96" s="129" t="s">
        <v>919</v>
      </c>
      <c r="J96" s="129" t="s">
        <v>920</v>
      </c>
      <c r="K96" s="129" t="s">
        <v>921</v>
      </c>
      <c r="L96" s="129" t="s">
        <v>922</v>
      </c>
      <c r="M96" s="129" t="s">
        <v>923</v>
      </c>
      <c r="N96" s="129" t="s">
        <v>924</v>
      </c>
      <c r="O96" s="129" t="s">
        <v>172</v>
      </c>
      <c r="P96" s="145" t="s">
        <v>173</v>
      </c>
      <c r="Q96" s="129" t="s">
        <v>176</v>
      </c>
      <c r="R96" s="145" t="s">
        <v>173</v>
      </c>
      <c r="S96" s="76"/>
      <c r="T96" s="146" t="s">
        <v>835</v>
      </c>
      <c r="U96" s="129" t="s">
        <v>925</v>
      </c>
      <c r="V96" s="76"/>
      <c r="W96" s="76"/>
      <c r="X96" s="76"/>
      <c r="Y96" s="76"/>
      <c r="Z96" s="76"/>
      <c r="AA96" s="76"/>
      <c r="AB96" s="76"/>
      <c r="AC96" s="76"/>
      <c r="AD96" s="76"/>
    </row>
    <row r="97" spans="1:30">
      <c r="A97" s="143">
        <v>75</v>
      </c>
      <c r="B97" s="144">
        <v>44664</v>
      </c>
      <c r="C97" s="142" t="s">
        <v>73</v>
      </c>
      <c r="D97" s="129" t="s">
        <v>926</v>
      </c>
      <c r="E97" s="142" t="s">
        <v>680</v>
      </c>
      <c r="F97" s="129" t="s">
        <v>927</v>
      </c>
      <c r="G97" s="142" t="s">
        <v>116</v>
      </c>
      <c r="H97" s="129" t="s">
        <v>928</v>
      </c>
      <c r="I97" s="129" t="s">
        <v>929</v>
      </c>
      <c r="J97" s="129" t="s">
        <v>930</v>
      </c>
      <c r="K97" s="129" t="s">
        <v>931</v>
      </c>
      <c r="L97" s="129" t="s">
        <v>932</v>
      </c>
      <c r="M97" s="129" t="s">
        <v>844</v>
      </c>
      <c r="N97" s="129" t="s">
        <v>933</v>
      </c>
      <c r="O97" s="129" t="s">
        <v>172</v>
      </c>
      <c r="P97" s="145" t="s">
        <v>173</v>
      </c>
      <c r="Q97" s="129" t="s">
        <v>176</v>
      </c>
      <c r="R97" s="145" t="s">
        <v>173</v>
      </c>
      <c r="S97" s="76"/>
      <c r="T97" s="146" t="s">
        <v>685</v>
      </c>
      <c r="U97" s="129" t="s">
        <v>934</v>
      </c>
      <c r="V97" s="76"/>
      <c r="W97" s="76"/>
      <c r="X97" s="76"/>
      <c r="Y97" s="76"/>
      <c r="Z97" s="76"/>
      <c r="AA97" s="76"/>
      <c r="AB97" s="76"/>
      <c r="AC97" s="76"/>
      <c r="AD97" s="76"/>
    </row>
    <row r="98" spans="1:30">
      <c r="A98" s="143">
        <v>76</v>
      </c>
      <c r="B98" s="144">
        <v>44664</v>
      </c>
      <c r="C98" s="142" t="s">
        <v>74</v>
      </c>
      <c r="D98" s="129" t="s">
        <v>935</v>
      </c>
      <c r="E98" s="142" t="s">
        <v>936</v>
      </c>
      <c r="F98" s="129" t="s">
        <v>937</v>
      </c>
      <c r="G98" s="142" t="s">
        <v>116</v>
      </c>
      <c r="H98" s="129" t="s">
        <v>938</v>
      </c>
      <c r="I98" s="129" t="s">
        <v>939</v>
      </c>
      <c r="J98" s="129" t="s">
        <v>486</v>
      </c>
      <c r="K98" s="129" t="s">
        <v>940</v>
      </c>
      <c r="L98" s="129" t="s">
        <v>941</v>
      </c>
      <c r="M98" s="129" t="s">
        <v>942</v>
      </c>
      <c r="N98" s="129" t="s">
        <v>943</v>
      </c>
      <c r="O98" s="129" t="s">
        <v>172</v>
      </c>
      <c r="P98" s="145" t="s">
        <v>173</v>
      </c>
      <c r="Q98" s="129" t="s">
        <v>176</v>
      </c>
      <c r="R98" s="145" t="s">
        <v>173</v>
      </c>
      <c r="S98" s="76"/>
      <c r="T98" s="146" t="s">
        <v>944</v>
      </c>
      <c r="U98" s="129" t="s">
        <v>252</v>
      </c>
      <c r="V98" s="76"/>
      <c r="W98" s="76"/>
      <c r="X98" s="76"/>
      <c r="Y98" s="76"/>
      <c r="Z98" s="76"/>
      <c r="AA98" s="76"/>
      <c r="AB98" s="76"/>
      <c r="AC98" s="76"/>
      <c r="AD98" s="76"/>
    </row>
    <row r="99" spans="1:30">
      <c r="A99" s="143">
        <v>77</v>
      </c>
      <c r="B99" s="144">
        <v>44664</v>
      </c>
      <c r="C99" s="142" t="s">
        <v>75</v>
      </c>
      <c r="D99" s="129" t="s">
        <v>945</v>
      </c>
      <c r="E99" s="142" t="s">
        <v>946</v>
      </c>
      <c r="F99" s="129" t="s">
        <v>947</v>
      </c>
      <c r="G99" s="142" t="s">
        <v>116</v>
      </c>
      <c r="H99" s="129" t="s">
        <v>948</v>
      </c>
      <c r="I99" s="129" t="s">
        <v>949</v>
      </c>
      <c r="J99" s="129" t="s">
        <v>950</v>
      </c>
      <c r="K99" s="129" t="s">
        <v>951</v>
      </c>
      <c r="L99" s="129" t="s">
        <v>952</v>
      </c>
      <c r="M99" s="129" t="s">
        <v>614</v>
      </c>
      <c r="N99" s="129" t="s">
        <v>953</v>
      </c>
      <c r="O99" s="129" t="s">
        <v>172</v>
      </c>
      <c r="P99" s="145" t="s">
        <v>173</v>
      </c>
      <c r="Q99" s="129" t="s">
        <v>176</v>
      </c>
      <c r="R99" s="145" t="s">
        <v>173</v>
      </c>
      <c r="S99" s="76"/>
      <c r="T99" s="146" t="s">
        <v>954</v>
      </c>
      <c r="U99" s="129" t="s">
        <v>382</v>
      </c>
      <c r="V99" s="76"/>
      <c r="W99" s="76"/>
      <c r="X99" s="76"/>
      <c r="Y99" s="76"/>
      <c r="Z99" s="76"/>
      <c r="AA99" s="76"/>
      <c r="AB99" s="76"/>
      <c r="AC99" s="76"/>
      <c r="AD99" s="76"/>
    </row>
    <row r="100" spans="1:30">
      <c r="A100" s="143">
        <v>78</v>
      </c>
      <c r="B100" s="144">
        <v>44664</v>
      </c>
      <c r="C100" s="142" t="s">
        <v>76</v>
      </c>
      <c r="D100" s="129" t="s">
        <v>955</v>
      </c>
      <c r="E100" s="142" t="s">
        <v>956</v>
      </c>
      <c r="F100" s="129" t="s">
        <v>957</v>
      </c>
      <c r="G100" s="142" t="s">
        <v>116</v>
      </c>
      <c r="H100" s="129" t="s">
        <v>958</v>
      </c>
      <c r="I100" s="129" t="s">
        <v>959</v>
      </c>
      <c r="J100" s="129" t="s">
        <v>960</v>
      </c>
      <c r="K100" s="129" t="s">
        <v>713</v>
      </c>
      <c r="L100" s="129" t="s">
        <v>961</v>
      </c>
      <c r="M100" s="129" t="s">
        <v>209</v>
      </c>
      <c r="N100" s="129" t="s">
        <v>962</v>
      </c>
      <c r="O100" s="129" t="s">
        <v>172</v>
      </c>
      <c r="P100" s="145" t="s">
        <v>173</v>
      </c>
      <c r="Q100" s="129" t="s">
        <v>176</v>
      </c>
      <c r="R100" s="145" t="s">
        <v>173</v>
      </c>
      <c r="S100" s="76"/>
      <c r="T100" s="146" t="s">
        <v>963</v>
      </c>
      <c r="U100" s="129" t="s">
        <v>964</v>
      </c>
      <c r="V100" s="76"/>
      <c r="W100" s="76"/>
      <c r="X100" s="76"/>
      <c r="Y100" s="76"/>
      <c r="Z100" s="76"/>
      <c r="AA100" s="76"/>
      <c r="AB100" s="76"/>
      <c r="AC100" s="76"/>
      <c r="AD100" s="76"/>
    </row>
    <row r="101" spans="1:30">
      <c r="A101" s="143">
        <v>79</v>
      </c>
      <c r="B101" s="144">
        <v>44664</v>
      </c>
      <c r="C101" s="142" t="s">
        <v>77</v>
      </c>
      <c r="D101" s="129" t="s">
        <v>965</v>
      </c>
      <c r="E101" s="142" t="s">
        <v>966</v>
      </c>
      <c r="F101" s="129" t="s">
        <v>342</v>
      </c>
      <c r="G101" s="142" t="s">
        <v>116</v>
      </c>
      <c r="H101" s="129" t="s">
        <v>967</v>
      </c>
      <c r="I101" s="129" t="s">
        <v>968</v>
      </c>
      <c r="J101" s="129" t="s">
        <v>969</v>
      </c>
      <c r="K101" s="129" t="s">
        <v>970</v>
      </c>
      <c r="L101" s="129" t="s">
        <v>971</v>
      </c>
      <c r="M101" s="129" t="s">
        <v>972</v>
      </c>
      <c r="N101" s="129" t="s">
        <v>887</v>
      </c>
      <c r="O101" s="129" t="s">
        <v>172</v>
      </c>
      <c r="P101" s="145" t="s">
        <v>173</v>
      </c>
      <c r="Q101" s="129" t="s">
        <v>176</v>
      </c>
      <c r="R101" s="145" t="s">
        <v>173</v>
      </c>
      <c r="S101" s="76"/>
      <c r="T101" s="146" t="s">
        <v>894</v>
      </c>
      <c r="U101" s="129" t="s">
        <v>973</v>
      </c>
      <c r="V101" s="76"/>
      <c r="W101" s="76"/>
      <c r="X101" s="76"/>
      <c r="Y101" s="76"/>
      <c r="Z101" s="76"/>
      <c r="AA101" s="76"/>
      <c r="AB101" s="76"/>
      <c r="AC101" s="76"/>
      <c r="AD101" s="76"/>
    </row>
    <row r="102" spans="1:30">
      <c r="A102" s="143">
        <v>80</v>
      </c>
      <c r="B102" s="144">
        <v>44664</v>
      </c>
      <c r="C102" s="142" t="s">
        <v>78</v>
      </c>
      <c r="D102" s="129" t="s">
        <v>974</v>
      </c>
      <c r="E102" s="142" t="s">
        <v>975</v>
      </c>
      <c r="F102" s="129" t="s">
        <v>976</v>
      </c>
      <c r="G102" s="142" t="s">
        <v>116</v>
      </c>
      <c r="H102" s="129" t="s">
        <v>977</v>
      </c>
      <c r="I102" s="129" t="s">
        <v>978</v>
      </c>
      <c r="J102" s="129" t="s">
        <v>979</v>
      </c>
      <c r="K102" s="129" t="s">
        <v>328</v>
      </c>
      <c r="L102" s="129" t="s">
        <v>980</v>
      </c>
      <c r="M102" s="129" t="s">
        <v>172</v>
      </c>
      <c r="N102" s="145" t="s">
        <v>173</v>
      </c>
      <c r="O102" s="129" t="s">
        <v>172</v>
      </c>
      <c r="P102" s="145" t="s">
        <v>173</v>
      </c>
      <c r="Q102" s="129" t="s">
        <v>176</v>
      </c>
      <c r="R102" s="145" t="s">
        <v>173</v>
      </c>
      <c r="S102" s="76"/>
      <c r="T102" s="146" t="s">
        <v>981</v>
      </c>
      <c r="U102" s="129" t="s">
        <v>575</v>
      </c>
      <c r="V102" s="76"/>
      <c r="W102" s="76"/>
      <c r="X102" s="76"/>
      <c r="Y102" s="76"/>
      <c r="Z102" s="76"/>
      <c r="AA102" s="76"/>
      <c r="AB102" s="76"/>
      <c r="AC102" s="76"/>
      <c r="AD102" s="76"/>
    </row>
    <row r="103" spans="1:30">
      <c r="A103" s="143">
        <v>81</v>
      </c>
      <c r="B103" s="144">
        <v>44664</v>
      </c>
      <c r="C103" s="142" t="s">
        <v>79</v>
      </c>
      <c r="D103" s="129" t="s">
        <v>982</v>
      </c>
      <c r="E103" s="142" t="s">
        <v>983</v>
      </c>
      <c r="F103" s="129" t="s">
        <v>984</v>
      </c>
      <c r="G103" s="142" t="s">
        <v>116</v>
      </c>
      <c r="H103" s="129" t="s">
        <v>985</v>
      </c>
      <c r="I103" s="129" t="s">
        <v>986</v>
      </c>
      <c r="J103" s="129" t="s">
        <v>987</v>
      </c>
      <c r="K103" s="129" t="s">
        <v>328</v>
      </c>
      <c r="L103" s="129" t="s">
        <v>988</v>
      </c>
      <c r="M103" s="129" t="s">
        <v>844</v>
      </c>
      <c r="N103" s="129" t="s">
        <v>989</v>
      </c>
      <c r="O103" s="129" t="s">
        <v>172</v>
      </c>
      <c r="P103" s="145" t="s">
        <v>173</v>
      </c>
      <c r="Q103" s="129" t="s">
        <v>176</v>
      </c>
      <c r="R103" s="145" t="s">
        <v>173</v>
      </c>
      <c r="S103" s="76"/>
      <c r="T103" s="146" t="s">
        <v>990</v>
      </c>
      <c r="U103" s="129" t="s">
        <v>991</v>
      </c>
      <c r="V103" s="76"/>
      <c r="W103" s="76"/>
      <c r="X103" s="76"/>
      <c r="Y103" s="76"/>
      <c r="Z103" s="76"/>
      <c r="AA103" s="76"/>
      <c r="AB103" s="76"/>
      <c r="AC103" s="76"/>
      <c r="AD103" s="76"/>
    </row>
    <row r="104" spans="1:30">
      <c r="A104" s="143">
        <v>82</v>
      </c>
      <c r="B104" s="144">
        <v>44671</v>
      </c>
      <c r="C104" s="142" t="s">
        <v>23</v>
      </c>
      <c r="D104" s="129" t="s">
        <v>992</v>
      </c>
      <c r="E104" s="142" t="s">
        <v>993</v>
      </c>
      <c r="F104" s="129" t="s">
        <v>994</v>
      </c>
      <c r="G104" s="142" t="s">
        <v>116</v>
      </c>
      <c r="H104" s="129" t="s">
        <v>995</v>
      </c>
      <c r="I104" s="129" t="s">
        <v>996</v>
      </c>
      <c r="J104" s="129" t="s">
        <v>997</v>
      </c>
      <c r="K104" s="129" t="s">
        <v>278</v>
      </c>
      <c r="L104" s="129" t="s">
        <v>998</v>
      </c>
      <c r="M104" s="129" t="s">
        <v>209</v>
      </c>
      <c r="N104" s="129" t="s">
        <v>999</v>
      </c>
      <c r="O104" s="129" t="s">
        <v>1000</v>
      </c>
      <c r="P104" s="129" t="s">
        <v>1001</v>
      </c>
      <c r="Q104" s="129" t="s">
        <v>1002</v>
      </c>
      <c r="R104" s="129" t="s">
        <v>1003</v>
      </c>
      <c r="S104" s="76"/>
      <c r="T104" s="146" t="s">
        <v>1004</v>
      </c>
      <c r="U104" s="129" t="s">
        <v>477</v>
      </c>
      <c r="V104" s="76"/>
      <c r="W104" s="76"/>
      <c r="X104" s="76"/>
      <c r="Y104" s="76"/>
      <c r="Z104" s="76"/>
      <c r="AA104" s="76"/>
      <c r="AB104" s="76"/>
      <c r="AC104" s="76"/>
      <c r="AD104" s="76"/>
    </row>
    <row r="105" spans="1:30">
      <c r="A105" s="143">
        <v>83</v>
      </c>
      <c r="B105" s="144">
        <v>44671</v>
      </c>
      <c r="C105" s="142" t="s">
        <v>27</v>
      </c>
      <c r="D105" s="129" t="s">
        <v>1005</v>
      </c>
      <c r="E105" s="142" t="s">
        <v>582</v>
      </c>
      <c r="F105" s="129" t="s">
        <v>1006</v>
      </c>
      <c r="G105" s="142" t="s">
        <v>116</v>
      </c>
      <c r="H105" s="129" t="s">
        <v>1007</v>
      </c>
      <c r="I105" s="129" t="s">
        <v>1008</v>
      </c>
      <c r="J105" s="129" t="s">
        <v>293</v>
      </c>
      <c r="K105" s="129" t="s">
        <v>764</v>
      </c>
      <c r="L105" s="129" t="s">
        <v>1009</v>
      </c>
      <c r="M105" s="129" t="s">
        <v>172</v>
      </c>
      <c r="N105" s="145" t="s">
        <v>173</v>
      </c>
      <c r="O105" s="129" t="s">
        <v>711</v>
      </c>
      <c r="P105" s="129" t="s">
        <v>1010</v>
      </c>
      <c r="Q105" s="129" t="s">
        <v>176</v>
      </c>
      <c r="R105" s="145" t="s">
        <v>173</v>
      </c>
      <c r="S105" s="76"/>
      <c r="T105" s="146" t="s">
        <v>1011</v>
      </c>
      <c r="U105" s="129" t="s">
        <v>385</v>
      </c>
      <c r="V105" s="76"/>
      <c r="W105" s="76"/>
      <c r="X105" s="76"/>
      <c r="Y105" s="76"/>
      <c r="Z105" s="76"/>
      <c r="AA105" s="76"/>
      <c r="AB105" s="76"/>
      <c r="AC105" s="76"/>
      <c r="AD105" s="76"/>
    </row>
    <row r="106" spans="1:30">
      <c r="A106" s="143">
        <v>84</v>
      </c>
      <c r="B106" s="144">
        <v>44671</v>
      </c>
      <c r="C106" s="142" t="s">
        <v>30</v>
      </c>
      <c r="D106" s="129" t="s">
        <v>1012</v>
      </c>
      <c r="E106" s="142" t="s">
        <v>1013</v>
      </c>
      <c r="F106" s="129" t="s">
        <v>1014</v>
      </c>
      <c r="G106" s="142" t="s">
        <v>116</v>
      </c>
      <c r="H106" s="129" t="s">
        <v>1015</v>
      </c>
      <c r="I106" s="129" t="s">
        <v>1016</v>
      </c>
      <c r="J106" s="129" t="s">
        <v>311</v>
      </c>
      <c r="K106" s="129" t="s">
        <v>1017</v>
      </c>
      <c r="L106" s="129" t="s">
        <v>1018</v>
      </c>
      <c r="M106" s="129" t="s">
        <v>172</v>
      </c>
      <c r="N106" s="145" t="s">
        <v>173</v>
      </c>
      <c r="O106" s="129" t="s">
        <v>713</v>
      </c>
      <c r="P106" s="129" t="s">
        <v>1019</v>
      </c>
      <c r="Q106" s="129" t="s">
        <v>176</v>
      </c>
      <c r="R106" s="145" t="s">
        <v>173</v>
      </c>
      <c r="S106" s="76"/>
      <c r="T106" s="146" t="s">
        <v>1020</v>
      </c>
      <c r="U106" s="129" t="s">
        <v>1021</v>
      </c>
      <c r="V106" s="76"/>
      <c r="W106" s="76"/>
      <c r="X106" s="76"/>
      <c r="Y106" s="76"/>
      <c r="Z106" s="76"/>
      <c r="AA106" s="76"/>
      <c r="AB106" s="76"/>
      <c r="AC106" s="76"/>
      <c r="AD106" s="76"/>
    </row>
    <row r="107" spans="1:30">
      <c r="A107" s="143">
        <v>85</v>
      </c>
      <c r="B107" s="144">
        <v>44671</v>
      </c>
      <c r="C107" s="142" t="s">
        <v>32</v>
      </c>
      <c r="D107" s="129" t="s">
        <v>1022</v>
      </c>
      <c r="E107" s="142" t="s">
        <v>1023</v>
      </c>
      <c r="F107" s="129" t="s">
        <v>1024</v>
      </c>
      <c r="G107" s="142" t="s">
        <v>116</v>
      </c>
      <c r="H107" s="129" t="s">
        <v>1025</v>
      </c>
      <c r="I107" s="129" t="s">
        <v>521</v>
      </c>
      <c r="J107" s="129" t="s">
        <v>1026</v>
      </c>
      <c r="K107" s="129" t="s">
        <v>1027</v>
      </c>
      <c r="L107" s="129" t="s">
        <v>1028</v>
      </c>
      <c r="M107" s="129" t="s">
        <v>172</v>
      </c>
      <c r="N107" s="145" t="s">
        <v>173</v>
      </c>
      <c r="O107" s="129" t="s">
        <v>1029</v>
      </c>
      <c r="P107" s="129" t="s">
        <v>1030</v>
      </c>
      <c r="Q107" s="129" t="s">
        <v>176</v>
      </c>
      <c r="R107" s="145" t="s">
        <v>173</v>
      </c>
      <c r="S107" s="76"/>
      <c r="T107" s="146" t="s">
        <v>1031</v>
      </c>
      <c r="U107" s="129" t="s">
        <v>516</v>
      </c>
      <c r="V107" s="76"/>
      <c r="W107" s="76"/>
      <c r="X107" s="76"/>
      <c r="Y107" s="76"/>
      <c r="Z107" s="76"/>
      <c r="AA107" s="76"/>
      <c r="AB107" s="76"/>
      <c r="AC107" s="76"/>
      <c r="AD107" s="76"/>
    </row>
    <row r="108" spans="1:30">
      <c r="A108" s="143">
        <v>86</v>
      </c>
      <c r="B108" s="144">
        <v>44671</v>
      </c>
      <c r="C108" s="142" t="s">
        <v>34</v>
      </c>
      <c r="D108" s="129" t="s">
        <v>1032</v>
      </c>
      <c r="E108" s="142" t="s">
        <v>1033</v>
      </c>
      <c r="F108" s="129" t="s">
        <v>984</v>
      </c>
      <c r="G108" s="142" t="s">
        <v>116</v>
      </c>
      <c r="H108" s="129" t="s">
        <v>1034</v>
      </c>
      <c r="I108" s="129" t="s">
        <v>1035</v>
      </c>
      <c r="J108" s="129" t="s">
        <v>1036</v>
      </c>
      <c r="K108" s="129" t="s">
        <v>1037</v>
      </c>
      <c r="L108" s="129" t="s">
        <v>1038</v>
      </c>
      <c r="M108" s="129" t="s">
        <v>172</v>
      </c>
      <c r="N108" s="145" t="s">
        <v>173</v>
      </c>
      <c r="O108" s="129" t="s">
        <v>703</v>
      </c>
      <c r="P108" s="129" t="s">
        <v>1039</v>
      </c>
      <c r="Q108" s="129" t="s">
        <v>176</v>
      </c>
      <c r="R108" s="145" t="s">
        <v>173</v>
      </c>
      <c r="S108" s="76"/>
      <c r="T108" s="146" t="s">
        <v>1040</v>
      </c>
      <c r="U108" s="129" t="s">
        <v>1041</v>
      </c>
      <c r="V108" s="76"/>
      <c r="W108" s="76"/>
      <c r="X108" s="76"/>
      <c r="Y108" s="76"/>
      <c r="Z108" s="76"/>
      <c r="AA108" s="76"/>
      <c r="AB108" s="76"/>
      <c r="AC108" s="76"/>
      <c r="AD108" s="76"/>
    </row>
    <row r="109" spans="1:30">
      <c r="A109" s="143">
        <v>87</v>
      </c>
      <c r="B109" s="144">
        <v>44671</v>
      </c>
      <c r="C109" s="142" t="s">
        <v>35</v>
      </c>
      <c r="D109" s="129" t="s">
        <v>1042</v>
      </c>
      <c r="E109" s="142" t="s">
        <v>1043</v>
      </c>
      <c r="F109" s="129" t="s">
        <v>331</v>
      </c>
      <c r="G109" s="142" t="s">
        <v>116</v>
      </c>
      <c r="H109" s="129" t="s">
        <v>1044</v>
      </c>
      <c r="I109" s="129" t="s">
        <v>1045</v>
      </c>
      <c r="J109" s="129" t="s">
        <v>314</v>
      </c>
      <c r="K109" s="129" t="s">
        <v>1046</v>
      </c>
      <c r="L109" s="129" t="s">
        <v>1047</v>
      </c>
      <c r="M109" s="129" t="s">
        <v>172</v>
      </c>
      <c r="N109" s="145" t="s">
        <v>173</v>
      </c>
      <c r="O109" s="129" t="s">
        <v>351</v>
      </c>
      <c r="P109" s="129" t="s">
        <v>1048</v>
      </c>
      <c r="Q109" s="129" t="s">
        <v>176</v>
      </c>
      <c r="R109" s="145" t="s">
        <v>173</v>
      </c>
      <c r="S109" s="76"/>
      <c r="T109" s="146" t="s">
        <v>1049</v>
      </c>
      <c r="U109" s="129" t="s">
        <v>334</v>
      </c>
      <c r="V109" s="76"/>
      <c r="W109" s="76"/>
      <c r="X109" s="76"/>
      <c r="Y109" s="76"/>
      <c r="Z109" s="76"/>
      <c r="AA109" s="76"/>
      <c r="AB109" s="76"/>
      <c r="AC109" s="76"/>
      <c r="AD109" s="76"/>
    </row>
    <row r="110" spans="1:30">
      <c r="A110" s="143">
        <v>88</v>
      </c>
      <c r="B110" s="144">
        <v>44671</v>
      </c>
      <c r="C110" s="142" t="s">
        <v>36</v>
      </c>
      <c r="D110" s="129" t="s">
        <v>1050</v>
      </c>
      <c r="E110" s="142" t="s">
        <v>1051</v>
      </c>
      <c r="F110" s="129" t="s">
        <v>319</v>
      </c>
      <c r="G110" s="142" t="s">
        <v>116</v>
      </c>
      <c r="H110" s="129" t="s">
        <v>1052</v>
      </c>
      <c r="I110" s="129" t="s">
        <v>1053</v>
      </c>
      <c r="J110" s="129" t="s">
        <v>1054</v>
      </c>
      <c r="K110" s="129" t="s">
        <v>353</v>
      </c>
      <c r="L110" s="129" t="s">
        <v>1055</v>
      </c>
      <c r="M110" s="129" t="s">
        <v>1056</v>
      </c>
      <c r="N110" s="129" t="s">
        <v>1057</v>
      </c>
      <c r="O110" s="129" t="s">
        <v>172</v>
      </c>
      <c r="P110" s="145" t="s">
        <v>173</v>
      </c>
      <c r="Q110" s="129" t="s">
        <v>176</v>
      </c>
      <c r="R110" s="145" t="s">
        <v>173</v>
      </c>
      <c r="S110" s="76"/>
      <c r="T110" s="146" t="s">
        <v>1058</v>
      </c>
      <c r="U110" s="129" t="s">
        <v>297</v>
      </c>
      <c r="V110" s="76"/>
      <c r="W110" s="76"/>
      <c r="X110" s="76"/>
      <c r="Y110" s="76"/>
      <c r="Z110" s="76"/>
      <c r="AA110" s="76"/>
      <c r="AB110" s="76"/>
      <c r="AC110" s="76"/>
      <c r="AD110" s="76"/>
    </row>
    <row r="111" spans="1:30">
      <c r="A111" s="143">
        <v>89</v>
      </c>
      <c r="B111" s="144">
        <v>44671</v>
      </c>
      <c r="C111" s="142" t="s">
        <v>37</v>
      </c>
      <c r="D111" s="142" t="s">
        <v>1059</v>
      </c>
      <c r="E111" s="142" t="s">
        <v>1060</v>
      </c>
      <c r="F111" s="142" t="s">
        <v>890</v>
      </c>
      <c r="G111" s="142" t="s">
        <v>116</v>
      </c>
      <c r="H111" s="129" t="s">
        <v>1061</v>
      </c>
      <c r="I111" s="129" t="s">
        <v>491</v>
      </c>
      <c r="J111" s="129" t="s">
        <v>1062</v>
      </c>
      <c r="K111" s="129" t="s">
        <v>963</v>
      </c>
      <c r="L111" s="129" t="s">
        <v>1063</v>
      </c>
      <c r="M111" s="129" t="s">
        <v>172</v>
      </c>
      <c r="N111" s="145" t="s">
        <v>173</v>
      </c>
      <c r="O111" s="129" t="s">
        <v>1000</v>
      </c>
      <c r="P111" s="129" t="s">
        <v>1064</v>
      </c>
      <c r="Q111" s="129" t="s">
        <v>176</v>
      </c>
      <c r="R111" s="145" t="s">
        <v>173</v>
      </c>
      <c r="S111" s="76"/>
      <c r="T111" s="146" t="s">
        <v>1065</v>
      </c>
      <c r="U111" s="129" t="s">
        <v>1066</v>
      </c>
      <c r="V111" s="76"/>
      <c r="W111" s="76"/>
      <c r="X111" s="76"/>
      <c r="Y111" s="76"/>
      <c r="Z111" s="76"/>
      <c r="AA111" s="76"/>
      <c r="AB111" s="76"/>
      <c r="AC111" s="76"/>
      <c r="AD111" s="76"/>
    </row>
    <row r="112" spans="1:30">
      <c r="A112" s="143">
        <v>90</v>
      </c>
      <c r="B112" s="144">
        <v>44671</v>
      </c>
      <c r="C112" s="142" t="s">
        <v>38</v>
      </c>
      <c r="D112" s="142" t="s">
        <v>1067</v>
      </c>
      <c r="E112" s="142" t="s">
        <v>1068</v>
      </c>
      <c r="F112" s="142" t="s">
        <v>1069</v>
      </c>
      <c r="G112" s="121" t="s">
        <v>116</v>
      </c>
      <c r="H112" s="129" t="s">
        <v>1070</v>
      </c>
      <c r="I112" s="129" t="s">
        <v>1071</v>
      </c>
      <c r="J112" s="129" t="s">
        <v>1072</v>
      </c>
      <c r="K112" s="129" t="s">
        <v>1073</v>
      </c>
      <c r="L112" s="129" t="s">
        <v>1074</v>
      </c>
      <c r="M112" s="129" t="s">
        <v>172</v>
      </c>
      <c r="N112" s="145" t="s">
        <v>173</v>
      </c>
      <c r="O112" s="129" t="s">
        <v>1031</v>
      </c>
      <c r="P112" s="129" t="s">
        <v>1075</v>
      </c>
      <c r="Q112" s="129" t="s">
        <v>176</v>
      </c>
      <c r="R112" s="145" t="s">
        <v>173</v>
      </c>
      <c r="S112" s="76"/>
      <c r="T112" s="146" t="s">
        <v>1076</v>
      </c>
      <c r="U112" s="129" t="s">
        <v>356</v>
      </c>
      <c r="V112" s="76"/>
      <c r="W112" s="76"/>
      <c r="X112" s="76"/>
      <c r="Y112" s="76"/>
      <c r="Z112" s="76"/>
      <c r="AA112" s="76"/>
      <c r="AB112" s="76"/>
      <c r="AC112" s="76"/>
      <c r="AD112" s="76"/>
    </row>
    <row r="113" spans="1:30">
      <c r="A113" s="143">
        <v>91</v>
      </c>
      <c r="B113" s="144">
        <v>44671</v>
      </c>
      <c r="C113" s="142" t="s">
        <v>39</v>
      </c>
      <c r="D113" s="129" t="s">
        <v>1077</v>
      </c>
      <c r="E113" s="142" t="s">
        <v>1078</v>
      </c>
      <c r="F113" s="129" t="s">
        <v>1079</v>
      </c>
      <c r="G113" s="142" t="s">
        <v>116</v>
      </c>
      <c r="H113" s="129" t="s">
        <v>1080</v>
      </c>
      <c r="I113" s="129" t="s">
        <v>1081</v>
      </c>
      <c r="J113" s="129" t="s">
        <v>1082</v>
      </c>
      <c r="K113" s="129" t="s">
        <v>514</v>
      </c>
      <c r="L113" s="129" t="s">
        <v>1083</v>
      </c>
      <c r="M113" s="129" t="s">
        <v>172</v>
      </c>
      <c r="N113" s="145" t="s">
        <v>173</v>
      </c>
      <c r="O113" s="129" t="s">
        <v>280</v>
      </c>
      <c r="P113" s="129" t="s">
        <v>1084</v>
      </c>
      <c r="Q113" s="129" t="s">
        <v>176</v>
      </c>
      <c r="R113" s="145" t="s">
        <v>173</v>
      </c>
      <c r="S113" s="76"/>
      <c r="T113" s="146" t="s">
        <v>1085</v>
      </c>
      <c r="U113" s="129" t="s">
        <v>184</v>
      </c>
      <c r="V113" s="76"/>
      <c r="W113" s="76"/>
      <c r="X113" s="76"/>
      <c r="Y113" s="76"/>
      <c r="Z113" s="76"/>
      <c r="AA113" s="76"/>
      <c r="AB113" s="76"/>
      <c r="AC113" s="76"/>
      <c r="AD113" s="76"/>
    </row>
    <row r="114" spans="1:30">
      <c r="A114" s="143">
        <v>92</v>
      </c>
      <c r="B114" s="144">
        <v>44671</v>
      </c>
      <c r="C114" s="142" t="s">
        <v>40</v>
      </c>
      <c r="D114" s="129" t="s">
        <v>1086</v>
      </c>
      <c r="E114" s="142" t="s">
        <v>1087</v>
      </c>
      <c r="F114" s="129" t="s">
        <v>994</v>
      </c>
      <c r="G114" s="142" t="s">
        <v>116</v>
      </c>
      <c r="H114" s="129" t="s">
        <v>682</v>
      </c>
      <c r="I114" s="129" t="s">
        <v>683</v>
      </c>
      <c r="J114" s="129" t="s">
        <v>1088</v>
      </c>
      <c r="K114" s="129" t="s">
        <v>339</v>
      </c>
      <c r="L114" s="129" t="s">
        <v>1089</v>
      </c>
      <c r="M114" s="129" t="s">
        <v>172</v>
      </c>
      <c r="N114" s="145" t="s">
        <v>173</v>
      </c>
      <c r="O114" s="129" t="s">
        <v>711</v>
      </c>
      <c r="P114" s="129" t="s">
        <v>1090</v>
      </c>
      <c r="Q114" s="129" t="s">
        <v>176</v>
      </c>
      <c r="R114" s="145" t="s">
        <v>173</v>
      </c>
      <c r="S114" s="76"/>
      <c r="T114" s="146" t="s">
        <v>840</v>
      </c>
      <c r="U114" s="129" t="s">
        <v>348</v>
      </c>
      <c r="V114" s="76"/>
      <c r="W114" s="76"/>
      <c r="X114" s="76"/>
      <c r="Y114" s="76"/>
      <c r="Z114" s="76"/>
      <c r="AA114" s="76"/>
      <c r="AB114" s="76"/>
      <c r="AC114" s="76"/>
      <c r="AD114" s="76"/>
    </row>
    <row r="115" spans="1:30">
      <c r="A115" s="143">
        <v>93</v>
      </c>
      <c r="B115" s="144">
        <v>44671</v>
      </c>
      <c r="C115" s="142" t="s">
        <v>41</v>
      </c>
      <c r="D115" s="129" t="s">
        <v>1091</v>
      </c>
      <c r="E115" s="142" t="s">
        <v>1092</v>
      </c>
      <c r="F115" s="129" t="s">
        <v>537</v>
      </c>
      <c r="G115" s="142" t="s">
        <v>116</v>
      </c>
      <c r="H115" s="129" t="s">
        <v>1093</v>
      </c>
      <c r="I115" s="129" t="s">
        <v>1094</v>
      </c>
      <c r="J115" s="129" t="s">
        <v>1095</v>
      </c>
      <c r="K115" s="129" t="s">
        <v>685</v>
      </c>
      <c r="L115" s="129" t="s">
        <v>890</v>
      </c>
      <c r="M115" s="129" t="s">
        <v>711</v>
      </c>
      <c r="N115" s="129" t="s">
        <v>1096</v>
      </c>
      <c r="O115" s="129" t="s">
        <v>505</v>
      </c>
      <c r="P115" s="129" t="s">
        <v>1097</v>
      </c>
      <c r="Q115" s="129" t="s">
        <v>176</v>
      </c>
      <c r="R115" s="145" t="s">
        <v>173</v>
      </c>
      <c r="S115" s="76"/>
      <c r="T115" s="146" t="s">
        <v>804</v>
      </c>
      <c r="U115" s="129" t="s">
        <v>1098</v>
      </c>
      <c r="V115" s="76"/>
      <c r="W115" s="76"/>
      <c r="X115" s="76"/>
      <c r="Y115" s="76"/>
      <c r="Z115" s="76"/>
      <c r="AA115" s="76"/>
      <c r="AB115" s="76"/>
      <c r="AC115" s="76"/>
      <c r="AD115" s="76"/>
    </row>
    <row r="116" spans="1:30">
      <c r="A116" s="143">
        <v>94</v>
      </c>
      <c r="B116" s="144">
        <v>44671</v>
      </c>
      <c r="C116" s="142" t="s">
        <v>42</v>
      </c>
      <c r="D116" s="129" t="s">
        <v>1099</v>
      </c>
      <c r="E116" s="142" t="s">
        <v>1100</v>
      </c>
      <c r="F116" s="129" t="s">
        <v>297</v>
      </c>
      <c r="G116" s="142" t="s">
        <v>116</v>
      </c>
      <c r="H116" s="129" t="s">
        <v>1101</v>
      </c>
      <c r="I116" s="129" t="s">
        <v>663</v>
      </c>
      <c r="J116" s="129" t="s">
        <v>615</v>
      </c>
      <c r="K116" s="129" t="s">
        <v>282</v>
      </c>
      <c r="L116" s="129" t="s">
        <v>1102</v>
      </c>
      <c r="M116" s="129" t="s">
        <v>172</v>
      </c>
      <c r="N116" s="145" t="s">
        <v>173</v>
      </c>
      <c r="O116" s="129" t="s">
        <v>616</v>
      </c>
      <c r="P116" s="129" t="s">
        <v>830</v>
      </c>
      <c r="Q116" s="129" t="s">
        <v>176</v>
      </c>
      <c r="R116" s="145" t="s">
        <v>173</v>
      </c>
      <c r="S116" s="76"/>
      <c r="T116" s="146" t="s">
        <v>1103</v>
      </c>
      <c r="U116" s="129" t="s">
        <v>396</v>
      </c>
      <c r="V116" s="76"/>
      <c r="W116" s="76"/>
      <c r="X116" s="76"/>
      <c r="Y116" s="76"/>
      <c r="Z116" s="76"/>
      <c r="AA116" s="76"/>
      <c r="AB116" s="76"/>
      <c r="AC116" s="76"/>
      <c r="AD116" s="76"/>
    </row>
    <row r="117" spans="1:30">
      <c r="A117" s="143">
        <v>95</v>
      </c>
      <c r="B117" s="144">
        <v>44671</v>
      </c>
      <c r="C117" s="142" t="s">
        <v>43</v>
      </c>
      <c r="D117" s="129" t="s">
        <v>1104</v>
      </c>
      <c r="E117" s="142" t="s">
        <v>1105</v>
      </c>
      <c r="F117" s="129" t="s">
        <v>1106</v>
      </c>
      <c r="G117" s="142" t="s">
        <v>116</v>
      </c>
      <c r="H117" s="129" t="s">
        <v>1107</v>
      </c>
      <c r="I117" s="129" t="s">
        <v>1108</v>
      </c>
      <c r="J117" s="129" t="s">
        <v>906</v>
      </c>
      <c r="K117" s="129" t="s">
        <v>155</v>
      </c>
      <c r="L117" s="129" t="s">
        <v>962</v>
      </c>
      <c r="M117" s="129" t="s">
        <v>1109</v>
      </c>
      <c r="N117" s="129" t="s">
        <v>1110</v>
      </c>
      <c r="O117" s="129" t="s">
        <v>1111</v>
      </c>
      <c r="P117" s="129" t="s">
        <v>1112</v>
      </c>
      <c r="Q117" s="129" t="s">
        <v>1113</v>
      </c>
      <c r="R117" s="129" t="s">
        <v>789</v>
      </c>
      <c r="S117" s="76"/>
      <c r="T117" s="146" t="s">
        <v>1114</v>
      </c>
      <c r="U117" s="129" t="s">
        <v>404</v>
      </c>
      <c r="V117" s="76"/>
      <c r="W117" s="76"/>
      <c r="X117" s="76"/>
      <c r="Y117" s="76"/>
      <c r="Z117" s="76"/>
      <c r="AA117" s="76"/>
      <c r="AB117" s="76"/>
      <c r="AC117" s="76"/>
      <c r="AD117" s="76"/>
    </row>
    <row r="118" spans="1:30">
      <c r="A118" s="143">
        <v>96</v>
      </c>
      <c r="B118" s="144">
        <v>44671</v>
      </c>
      <c r="C118" s="142" t="s">
        <v>44</v>
      </c>
      <c r="D118" s="129" t="s">
        <v>1115</v>
      </c>
      <c r="E118" s="142" t="s">
        <v>1116</v>
      </c>
      <c r="F118" s="129" t="s">
        <v>1117</v>
      </c>
      <c r="G118" s="142" t="s">
        <v>116</v>
      </c>
      <c r="H118" s="129" t="s">
        <v>1118</v>
      </c>
      <c r="I118" s="129" t="s">
        <v>1119</v>
      </c>
      <c r="J118" s="129" t="s">
        <v>1120</v>
      </c>
      <c r="K118" s="129" t="s">
        <v>1121</v>
      </c>
      <c r="L118" s="129" t="s">
        <v>778</v>
      </c>
      <c r="M118" s="129" t="s">
        <v>172</v>
      </c>
      <c r="N118" s="145" t="s">
        <v>173</v>
      </c>
      <c r="O118" s="129" t="s">
        <v>379</v>
      </c>
      <c r="P118" s="129" t="s">
        <v>1122</v>
      </c>
      <c r="Q118" s="129" t="s">
        <v>176</v>
      </c>
      <c r="R118" s="145" t="s">
        <v>173</v>
      </c>
      <c r="S118" s="76"/>
      <c r="T118" s="146" t="s">
        <v>1123</v>
      </c>
      <c r="U118" s="129" t="s">
        <v>337</v>
      </c>
      <c r="V118" s="76"/>
      <c r="W118" s="76"/>
      <c r="X118" s="76"/>
      <c r="Y118" s="76"/>
      <c r="Z118" s="76"/>
      <c r="AA118" s="76"/>
      <c r="AB118" s="76"/>
      <c r="AC118" s="76"/>
      <c r="AD118" s="76"/>
    </row>
    <row r="119" spans="1:30">
      <c r="A119" s="143">
        <v>97</v>
      </c>
      <c r="B119" s="144">
        <v>44671</v>
      </c>
      <c r="C119" s="142" t="s">
        <v>68</v>
      </c>
      <c r="D119" s="129" t="s">
        <v>1124</v>
      </c>
      <c r="E119" s="142" t="s">
        <v>1125</v>
      </c>
      <c r="F119" s="129" t="s">
        <v>1126</v>
      </c>
      <c r="G119" s="142" t="s">
        <v>116</v>
      </c>
      <c r="H119" s="129" t="s">
        <v>1127</v>
      </c>
      <c r="I119" s="129" t="s">
        <v>1128</v>
      </c>
      <c r="J119" s="129" t="s">
        <v>1129</v>
      </c>
      <c r="K119" s="129" t="s">
        <v>1130</v>
      </c>
      <c r="L119" s="129" t="s">
        <v>1131</v>
      </c>
      <c r="M119" s="129" t="s">
        <v>1132</v>
      </c>
      <c r="N119" s="129" t="s">
        <v>898</v>
      </c>
      <c r="O119" s="129" t="s">
        <v>172</v>
      </c>
      <c r="P119" s="145" t="s">
        <v>173</v>
      </c>
      <c r="Q119" s="129" t="s">
        <v>176</v>
      </c>
      <c r="R119" s="145" t="s">
        <v>173</v>
      </c>
      <c r="S119" s="76"/>
      <c r="T119" s="146" t="s">
        <v>1133</v>
      </c>
      <c r="U119" s="129" t="s">
        <v>962</v>
      </c>
      <c r="V119" s="76"/>
      <c r="W119" s="76"/>
      <c r="X119" s="76"/>
      <c r="Y119" s="76"/>
      <c r="Z119" s="76"/>
      <c r="AA119" s="76"/>
      <c r="AB119" s="76"/>
      <c r="AC119" s="76"/>
      <c r="AD119" s="76"/>
    </row>
    <row r="120" spans="1:30">
      <c r="A120" s="143">
        <v>98</v>
      </c>
      <c r="B120" s="144">
        <v>44671</v>
      </c>
      <c r="C120" s="142" t="s">
        <v>69</v>
      </c>
      <c r="D120" s="129" t="s">
        <v>1134</v>
      </c>
      <c r="E120" s="142" t="s">
        <v>1135</v>
      </c>
      <c r="F120" s="129" t="s">
        <v>758</v>
      </c>
      <c r="G120" s="142" t="s">
        <v>116</v>
      </c>
      <c r="H120" s="129" t="s">
        <v>201</v>
      </c>
      <c r="I120" s="129" t="s">
        <v>1136</v>
      </c>
      <c r="J120" s="129" t="s">
        <v>1137</v>
      </c>
      <c r="K120" s="129" t="s">
        <v>1138</v>
      </c>
      <c r="L120" s="129" t="s">
        <v>901</v>
      </c>
      <c r="M120" s="129" t="s">
        <v>970</v>
      </c>
      <c r="N120" s="129" t="s">
        <v>1139</v>
      </c>
      <c r="O120" s="129" t="s">
        <v>172</v>
      </c>
      <c r="P120" s="145" t="s">
        <v>173</v>
      </c>
      <c r="Q120" s="129" t="s">
        <v>176</v>
      </c>
      <c r="R120" s="145" t="s">
        <v>173</v>
      </c>
      <c r="S120" s="76"/>
      <c r="T120" s="146" t="s">
        <v>1140</v>
      </c>
      <c r="U120" s="129" t="s">
        <v>1141</v>
      </c>
      <c r="V120" s="76"/>
      <c r="W120" s="76"/>
      <c r="X120" s="76"/>
      <c r="Y120" s="76"/>
      <c r="Z120" s="76"/>
      <c r="AA120" s="76"/>
      <c r="AB120" s="76"/>
      <c r="AC120" s="76"/>
      <c r="AD120" s="76"/>
    </row>
    <row r="121" spans="1:30">
      <c r="A121" s="143">
        <v>99</v>
      </c>
      <c r="B121" s="144">
        <v>44671</v>
      </c>
      <c r="C121" s="142" t="s">
        <v>70</v>
      </c>
      <c r="D121" s="129" t="s">
        <v>1142</v>
      </c>
      <c r="E121" s="142" t="s">
        <v>1143</v>
      </c>
      <c r="F121" s="129" t="s">
        <v>1144</v>
      </c>
      <c r="G121" s="142" t="s">
        <v>116</v>
      </c>
      <c r="H121" s="129" t="s">
        <v>1145</v>
      </c>
      <c r="I121" s="129" t="s">
        <v>1146</v>
      </c>
      <c r="J121" s="129" t="s">
        <v>1147</v>
      </c>
      <c r="K121" s="129" t="s">
        <v>1148</v>
      </c>
      <c r="L121" s="129" t="s">
        <v>181</v>
      </c>
      <c r="M121" s="129" t="s">
        <v>1149</v>
      </c>
      <c r="N121" s="129" t="s">
        <v>530</v>
      </c>
      <c r="O121" s="129" t="s">
        <v>1046</v>
      </c>
      <c r="P121" s="129" t="s">
        <v>1150</v>
      </c>
      <c r="Q121" s="129" t="s">
        <v>176</v>
      </c>
      <c r="R121" s="145" t="s">
        <v>173</v>
      </c>
      <c r="S121" s="76"/>
      <c r="T121" s="146" t="s">
        <v>567</v>
      </c>
      <c r="U121" s="129" t="s">
        <v>1151</v>
      </c>
      <c r="V121" s="76"/>
      <c r="W121" s="76"/>
      <c r="X121" s="76"/>
      <c r="Y121" s="76"/>
      <c r="Z121" s="76"/>
      <c r="AA121" s="76"/>
      <c r="AB121" s="76"/>
      <c r="AC121" s="76"/>
      <c r="AD121" s="76"/>
    </row>
    <row r="122" spans="1:30">
      <c r="A122" s="143">
        <v>100</v>
      </c>
      <c r="B122" s="144">
        <v>44671</v>
      </c>
      <c r="C122" s="142" t="s">
        <v>71</v>
      </c>
      <c r="D122" s="129" t="s">
        <v>1152</v>
      </c>
      <c r="E122" s="142" t="s">
        <v>1153</v>
      </c>
      <c r="F122" s="129" t="s">
        <v>794</v>
      </c>
      <c r="G122" s="142" t="s">
        <v>116</v>
      </c>
      <c r="H122" s="129" t="s">
        <v>1154</v>
      </c>
      <c r="I122" s="129" t="s">
        <v>1155</v>
      </c>
      <c r="J122" s="129" t="s">
        <v>1156</v>
      </c>
      <c r="K122" s="129" t="s">
        <v>1157</v>
      </c>
      <c r="L122" s="129" t="s">
        <v>1158</v>
      </c>
      <c r="M122" s="129" t="s">
        <v>1138</v>
      </c>
      <c r="N122" s="129" t="s">
        <v>1159</v>
      </c>
      <c r="O122" s="129" t="s">
        <v>172</v>
      </c>
      <c r="P122" s="145" t="s">
        <v>173</v>
      </c>
      <c r="Q122" s="129" t="s">
        <v>176</v>
      </c>
      <c r="R122" s="145" t="s">
        <v>173</v>
      </c>
      <c r="S122" s="76"/>
      <c r="T122" s="146" t="s">
        <v>267</v>
      </c>
      <c r="U122" s="129" t="s">
        <v>1160</v>
      </c>
      <c r="V122" s="76"/>
      <c r="W122" s="76"/>
      <c r="X122" s="76"/>
      <c r="Y122" s="76"/>
      <c r="Z122" s="76"/>
      <c r="AA122" s="76"/>
      <c r="AB122" s="76"/>
      <c r="AC122" s="76"/>
      <c r="AD122" s="76"/>
    </row>
    <row r="123" spans="1:30">
      <c r="A123" s="143">
        <v>101</v>
      </c>
      <c r="B123" s="144">
        <v>44671</v>
      </c>
      <c r="C123" s="142" t="s">
        <v>72</v>
      </c>
      <c r="D123" s="129" t="s">
        <v>1161</v>
      </c>
      <c r="E123" s="142" t="s">
        <v>1162</v>
      </c>
      <c r="F123" s="129" t="s">
        <v>462</v>
      </c>
      <c r="G123" s="142" t="s">
        <v>116</v>
      </c>
      <c r="H123" s="129" t="s">
        <v>1163</v>
      </c>
      <c r="I123" s="129" t="s">
        <v>959</v>
      </c>
      <c r="J123" s="129" t="s">
        <v>404</v>
      </c>
      <c r="K123" s="129" t="s">
        <v>1111</v>
      </c>
      <c r="L123" s="129" t="s">
        <v>1164</v>
      </c>
      <c r="M123" s="129" t="s">
        <v>604</v>
      </c>
      <c r="N123" s="129" t="s">
        <v>1165</v>
      </c>
      <c r="O123" s="129" t="s">
        <v>172</v>
      </c>
      <c r="P123" s="145" t="s">
        <v>173</v>
      </c>
      <c r="Q123" s="129" t="s">
        <v>176</v>
      </c>
      <c r="R123" s="145" t="s">
        <v>173</v>
      </c>
      <c r="S123" s="76"/>
      <c r="T123" s="146" t="s">
        <v>1166</v>
      </c>
      <c r="U123" s="129" t="s">
        <v>1167</v>
      </c>
      <c r="V123" s="76"/>
      <c r="W123" s="76"/>
      <c r="X123" s="76"/>
      <c r="Y123" s="76"/>
      <c r="Z123" s="76"/>
      <c r="AA123" s="76"/>
      <c r="AB123" s="76"/>
      <c r="AC123" s="76"/>
      <c r="AD123" s="76"/>
    </row>
    <row r="124" spans="1:30">
      <c r="A124" s="143">
        <v>102</v>
      </c>
      <c r="B124" s="144">
        <v>44671</v>
      </c>
      <c r="C124" s="142" t="s">
        <v>73</v>
      </c>
      <c r="D124" s="129" t="s">
        <v>1168</v>
      </c>
      <c r="E124" s="142" t="s">
        <v>1169</v>
      </c>
      <c r="F124" s="129" t="s">
        <v>1141</v>
      </c>
      <c r="G124" s="142" t="s">
        <v>116</v>
      </c>
      <c r="H124" s="129" t="s">
        <v>341</v>
      </c>
      <c r="I124" s="129" t="s">
        <v>1170</v>
      </c>
      <c r="J124" s="129" t="s">
        <v>634</v>
      </c>
      <c r="K124" s="129" t="s">
        <v>1171</v>
      </c>
      <c r="L124" s="129" t="s">
        <v>724</v>
      </c>
      <c r="M124" s="129" t="s">
        <v>1172</v>
      </c>
      <c r="N124" s="129" t="s">
        <v>1173</v>
      </c>
      <c r="O124" s="129" t="s">
        <v>172</v>
      </c>
      <c r="P124" s="145" t="s">
        <v>173</v>
      </c>
      <c r="Q124" s="129" t="s">
        <v>176</v>
      </c>
      <c r="R124" s="145" t="s">
        <v>173</v>
      </c>
      <c r="S124" s="76"/>
      <c r="T124" s="146" t="s">
        <v>361</v>
      </c>
      <c r="U124" s="145" t="s">
        <v>173</v>
      </c>
      <c r="V124" s="76"/>
      <c r="W124" s="76"/>
      <c r="X124" s="76"/>
      <c r="Y124" s="76"/>
      <c r="Z124" s="76"/>
      <c r="AA124" s="76"/>
      <c r="AB124" s="76"/>
      <c r="AC124" s="76"/>
      <c r="AD124" s="76"/>
    </row>
    <row r="125" spans="1:30">
      <c r="A125" s="143">
        <v>103</v>
      </c>
      <c r="B125" s="144">
        <v>44671</v>
      </c>
      <c r="C125" s="142" t="s">
        <v>74</v>
      </c>
      <c r="D125" s="129" t="s">
        <v>1174</v>
      </c>
      <c r="E125" s="142" t="s">
        <v>1175</v>
      </c>
      <c r="F125" s="129" t="s">
        <v>560</v>
      </c>
      <c r="G125" s="142" t="s">
        <v>116</v>
      </c>
      <c r="H125" s="129" t="s">
        <v>1176</v>
      </c>
      <c r="I125" s="129" t="s">
        <v>1177</v>
      </c>
      <c r="J125" s="129" t="s">
        <v>885</v>
      </c>
      <c r="K125" s="129" t="s">
        <v>503</v>
      </c>
      <c r="L125" s="129" t="s">
        <v>1178</v>
      </c>
      <c r="M125" s="129" t="s">
        <v>1179</v>
      </c>
      <c r="N125" s="129" t="s">
        <v>1024</v>
      </c>
      <c r="O125" s="129" t="s">
        <v>172</v>
      </c>
      <c r="P125" s="145" t="s">
        <v>173</v>
      </c>
      <c r="Q125" s="129" t="s">
        <v>176</v>
      </c>
      <c r="R125" s="145" t="s">
        <v>173</v>
      </c>
      <c r="S125" s="76"/>
      <c r="T125" s="146" t="s">
        <v>1180</v>
      </c>
      <c r="U125" s="129" t="s">
        <v>1181</v>
      </c>
      <c r="V125" s="76"/>
      <c r="W125" s="76"/>
      <c r="X125" s="76"/>
      <c r="Y125" s="76"/>
      <c r="Z125" s="76"/>
      <c r="AA125" s="76"/>
      <c r="AB125" s="76"/>
      <c r="AC125" s="76"/>
      <c r="AD125" s="76"/>
    </row>
    <row r="126" spans="1:30">
      <c r="A126" s="143">
        <v>104</v>
      </c>
      <c r="B126" s="144">
        <v>44671</v>
      </c>
      <c r="C126" s="142" t="s">
        <v>75</v>
      </c>
      <c r="D126" s="129" t="s">
        <v>1182</v>
      </c>
      <c r="E126" s="142" t="s">
        <v>1183</v>
      </c>
      <c r="F126" s="129" t="s">
        <v>516</v>
      </c>
      <c r="G126" s="142" t="s">
        <v>116</v>
      </c>
      <c r="H126" s="129" t="s">
        <v>1184</v>
      </c>
      <c r="I126" s="129" t="s">
        <v>1185</v>
      </c>
      <c r="J126" s="129" t="s">
        <v>1186</v>
      </c>
      <c r="K126" s="129" t="s">
        <v>1187</v>
      </c>
      <c r="L126" s="129" t="s">
        <v>1188</v>
      </c>
      <c r="M126" s="129" t="s">
        <v>221</v>
      </c>
      <c r="N126" s="129" t="s">
        <v>1189</v>
      </c>
      <c r="O126" s="129" t="s">
        <v>1190</v>
      </c>
      <c r="P126" s="129" t="s">
        <v>1191</v>
      </c>
      <c r="Q126" s="129" t="s">
        <v>176</v>
      </c>
      <c r="R126" s="145" t="s">
        <v>173</v>
      </c>
      <c r="S126" s="76"/>
      <c r="T126" s="146" t="s">
        <v>1056</v>
      </c>
      <c r="U126" s="129" t="s">
        <v>1192</v>
      </c>
      <c r="V126" s="76"/>
      <c r="W126" s="76"/>
      <c r="X126" s="76"/>
      <c r="Y126" s="76"/>
      <c r="Z126" s="76"/>
      <c r="AA126" s="76"/>
      <c r="AB126" s="76"/>
      <c r="AC126" s="76"/>
      <c r="AD126" s="76"/>
    </row>
    <row r="127" spans="1:30">
      <c r="A127" s="143">
        <v>105</v>
      </c>
      <c r="B127" s="144">
        <v>44671</v>
      </c>
      <c r="C127" s="142" t="s">
        <v>76</v>
      </c>
      <c r="D127" s="129" t="s">
        <v>1193</v>
      </c>
      <c r="E127" s="142" t="s">
        <v>698</v>
      </c>
      <c r="F127" s="129" t="s">
        <v>1194</v>
      </c>
      <c r="G127" s="142" t="s">
        <v>116</v>
      </c>
      <c r="H127" s="129" t="s">
        <v>1195</v>
      </c>
      <c r="I127" s="129" t="s">
        <v>1196</v>
      </c>
      <c r="J127" s="129" t="s">
        <v>1129</v>
      </c>
      <c r="K127" s="129" t="s">
        <v>1197</v>
      </c>
      <c r="L127" s="129" t="s">
        <v>731</v>
      </c>
      <c r="M127" s="129" t="s">
        <v>1198</v>
      </c>
      <c r="N127" s="129" t="s">
        <v>1199</v>
      </c>
      <c r="O127" s="129" t="s">
        <v>172</v>
      </c>
      <c r="P127" s="145" t="s">
        <v>173</v>
      </c>
      <c r="Q127" s="129" t="s">
        <v>176</v>
      </c>
      <c r="R127" s="145" t="s">
        <v>173</v>
      </c>
      <c r="S127" s="76"/>
      <c r="T127" s="146" t="s">
        <v>954</v>
      </c>
      <c r="U127" s="129" t="s">
        <v>1200</v>
      </c>
      <c r="V127" s="76"/>
      <c r="W127" s="76"/>
      <c r="X127" s="76"/>
      <c r="Y127" s="76"/>
      <c r="Z127" s="76"/>
      <c r="AA127" s="76"/>
      <c r="AB127" s="76"/>
      <c r="AC127" s="76"/>
      <c r="AD127" s="76"/>
    </row>
    <row r="128" spans="1:30">
      <c r="A128" s="143">
        <v>106</v>
      </c>
      <c r="B128" s="144">
        <v>44671</v>
      </c>
      <c r="C128" s="142" t="s">
        <v>77</v>
      </c>
      <c r="D128" s="129" t="s">
        <v>1201</v>
      </c>
      <c r="E128" s="142" t="s">
        <v>1202</v>
      </c>
      <c r="F128" s="129" t="s">
        <v>1203</v>
      </c>
      <c r="G128" s="142" t="s">
        <v>116</v>
      </c>
      <c r="H128" s="129" t="s">
        <v>1204</v>
      </c>
      <c r="I128" s="129" t="s">
        <v>968</v>
      </c>
      <c r="J128" s="129" t="s">
        <v>1205</v>
      </c>
      <c r="K128" s="129" t="s">
        <v>524</v>
      </c>
      <c r="L128" s="129" t="s">
        <v>1206</v>
      </c>
      <c r="M128" s="129" t="s">
        <v>1207</v>
      </c>
      <c r="N128" s="129" t="s">
        <v>1208</v>
      </c>
      <c r="O128" s="129" t="s">
        <v>172</v>
      </c>
      <c r="P128" s="145" t="s">
        <v>173</v>
      </c>
      <c r="Q128" s="129" t="s">
        <v>176</v>
      </c>
      <c r="R128" s="145" t="s">
        <v>173</v>
      </c>
      <c r="S128" s="76"/>
      <c r="T128" s="146" t="s">
        <v>1209</v>
      </c>
      <c r="U128" s="129" t="s">
        <v>1210</v>
      </c>
      <c r="V128" s="76"/>
      <c r="W128" s="76"/>
      <c r="X128" s="76"/>
      <c r="Y128" s="76"/>
      <c r="Z128" s="76"/>
      <c r="AA128" s="76"/>
      <c r="AB128" s="76"/>
      <c r="AC128" s="76"/>
      <c r="AD128" s="76"/>
    </row>
    <row r="129" spans="1:30">
      <c r="A129" s="143">
        <v>107</v>
      </c>
      <c r="B129" s="144">
        <v>44671</v>
      </c>
      <c r="C129" s="142" t="s">
        <v>78</v>
      </c>
      <c r="D129" s="142" t="s">
        <v>1211</v>
      </c>
      <c r="E129" s="142" t="s">
        <v>1212</v>
      </c>
      <c r="F129" s="142" t="s">
        <v>1213</v>
      </c>
      <c r="G129" s="142" t="s">
        <v>116</v>
      </c>
      <c r="H129" s="129" t="s">
        <v>1214</v>
      </c>
      <c r="I129" s="129" t="s">
        <v>1215</v>
      </c>
      <c r="J129" s="129" t="s">
        <v>1216</v>
      </c>
      <c r="K129" s="129" t="s">
        <v>635</v>
      </c>
      <c r="L129" s="129" t="s">
        <v>1217</v>
      </c>
      <c r="M129" s="129" t="s">
        <v>1218</v>
      </c>
      <c r="N129" s="129" t="s">
        <v>1219</v>
      </c>
      <c r="O129" s="129" t="s">
        <v>172</v>
      </c>
      <c r="P129" s="145" t="s">
        <v>173</v>
      </c>
      <c r="Q129" s="129" t="s">
        <v>176</v>
      </c>
      <c r="R129" s="145" t="s">
        <v>173</v>
      </c>
      <c r="S129" s="76"/>
      <c r="T129" s="146" t="s">
        <v>1220</v>
      </c>
      <c r="U129" s="129" t="s">
        <v>832</v>
      </c>
      <c r="V129" s="76"/>
      <c r="W129" s="76"/>
      <c r="X129" s="76"/>
      <c r="Y129" s="76"/>
      <c r="Z129" s="76"/>
      <c r="AA129" s="76"/>
      <c r="AB129" s="76"/>
      <c r="AC129" s="76"/>
      <c r="AD129" s="76"/>
    </row>
    <row r="130" spans="1:30">
      <c r="A130" s="143">
        <v>108</v>
      </c>
      <c r="B130" s="144">
        <v>44671</v>
      </c>
      <c r="C130" s="142" t="s">
        <v>79</v>
      </c>
      <c r="D130" s="142" t="s">
        <v>1221</v>
      </c>
      <c r="E130" s="142" t="s">
        <v>1222</v>
      </c>
      <c r="F130" s="142" t="s">
        <v>641</v>
      </c>
      <c r="G130" s="121" t="s">
        <v>116</v>
      </c>
      <c r="H130" s="129" t="s">
        <v>1223</v>
      </c>
      <c r="I130" s="129" t="s">
        <v>1224</v>
      </c>
      <c r="J130" s="129" t="s">
        <v>1225</v>
      </c>
      <c r="K130" s="129" t="s">
        <v>543</v>
      </c>
      <c r="L130" s="129" t="s">
        <v>1226</v>
      </c>
      <c r="M130" s="129" t="s">
        <v>1227</v>
      </c>
      <c r="N130" s="129" t="s">
        <v>1228</v>
      </c>
      <c r="O130" s="129" t="s">
        <v>172</v>
      </c>
      <c r="P130" s="145" t="s">
        <v>173</v>
      </c>
      <c r="Q130" s="129" t="s">
        <v>1229</v>
      </c>
      <c r="R130" s="129" t="s">
        <v>1230</v>
      </c>
      <c r="S130" s="76"/>
      <c r="T130" s="146" t="s">
        <v>492</v>
      </c>
      <c r="U130" s="129" t="s">
        <v>1057</v>
      </c>
      <c r="V130" s="76"/>
      <c r="W130" s="76"/>
      <c r="X130" s="76"/>
      <c r="Y130" s="76"/>
      <c r="Z130" s="76"/>
      <c r="AA130" s="76"/>
      <c r="AB130" s="76"/>
      <c r="AC130" s="76"/>
      <c r="AD130" s="76"/>
    </row>
    <row r="131" spans="1:30">
      <c r="A131" s="143">
        <v>109</v>
      </c>
      <c r="B131" s="144">
        <v>44678</v>
      </c>
      <c r="C131" s="142" t="s">
        <v>23</v>
      </c>
      <c r="D131" s="129" t="s">
        <v>1231</v>
      </c>
      <c r="E131" s="142" t="s">
        <v>1232</v>
      </c>
      <c r="F131" s="129" t="s">
        <v>1233</v>
      </c>
      <c r="G131" s="142" t="s">
        <v>116</v>
      </c>
      <c r="H131" s="129" t="s">
        <v>1234</v>
      </c>
      <c r="I131" s="129" t="s">
        <v>1235</v>
      </c>
      <c r="J131" s="129" t="s">
        <v>1236</v>
      </c>
      <c r="K131" s="129" t="s">
        <v>1237</v>
      </c>
      <c r="L131" s="129" t="s">
        <v>1238</v>
      </c>
      <c r="M131" s="129" t="s">
        <v>172</v>
      </c>
      <c r="N131" s="145" t="s">
        <v>173</v>
      </c>
      <c r="O131" s="129" t="s">
        <v>267</v>
      </c>
      <c r="P131" s="129" t="s">
        <v>1239</v>
      </c>
      <c r="Q131" s="129" t="s">
        <v>176</v>
      </c>
      <c r="R131" s="145" t="s">
        <v>173</v>
      </c>
      <c r="S131" s="76"/>
      <c r="T131" s="146" t="s">
        <v>1240</v>
      </c>
      <c r="U131" s="129" t="s">
        <v>613</v>
      </c>
      <c r="V131" s="76"/>
      <c r="W131" s="76"/>
      <c r="X131" s="76"/>
      <c r="Y131" s="76"/>
      <c r="Z131" s="76"/>
      <c r="AA131" s="76"/>
      <c r="AB131" s="76"/>
      <c r="AC131" s="76"/>
      <c r="AD131" s="76"/>
    </row>
    <row r="132" spans="1:30">
      <c r="A132" s="143">
        <v>110</v>
      </c>
      <c r="B132" s="144">
        <v>44678</v>
      </c>
      <c r="C132" s="142" t="s">
        <v>27</v>
      </c>
      <c r="D132" s="129" t="s">
        <v>1241</v>
      </c>
      <c r="E132" s="142" t="s">
        <v>1242</v>
      </c>
      <c r="F132" s="129" t="s">
        <v>1243</v>
      </c>
      <c r="G132" s="142" t="s">
        <v>116</v>
      </c>
      <c r="H132" s="129" t="s">
        <v>1244</v>
      </c>
      <c r="I132" s="129" t="s">
        <v>1245</v>
      </c>
      <c r="J132" s="129" t="s">
        <v>1246</v>
      </c>
      <c r="K132" s="129" t="s">
        <v>1247</v>
      </c>
      <c r="L132" s="129" t="s">
        <v>1248</v>
      </c>
      <c r="M132" s="129" t="s">
        <v>172</v>
      </c>
      <c r="N132" s="145" t="s">
        <v>173</v>
      </c>
      <c r="O132" s="129" t="s">
        <v>1179</v>
      </c>
      <c r="P132" s="129" t="s">
        <v>1249</v>
      </c>
      <c r="Q132" s="129" t="s">
        <v>176</v>
      </c>
      <c r="R132" s="145" t="s">
        <v>173</v>
      </c>
      <c r="S132" s="76"/>
      <c r="T132" s="146" t="s">
        <v>225</v>
      </c>
      <c r="U132" s="129" t="s">
        <v>878</v>
      </c>
      <c r="V132" s="76"/>
      <c r="W132" s="76"/>
      <c r="X132" s="76"/>
      <c r="Y132" s="76"/>
      <c r="Z132" s="76"/>
      <c r="AA132" s="76"/>
      <c r="AB132" s="76"/>
      <c r="AC132" s="76"/>
      <c r="AD132" s="76"/>
    </row>
    <row r="133" spans="1:30">
      <c r="A133" s="143">
        <v>111</v>
      </c>
      <c r="B133" s="144">
        <v>44678</v>
      </c>
      <c r="C133" s="142" t="s">
        <v>30</v>
      </c>
      <c r="D133" s="129" t="s">
        <v>1250</v>
      </c>
      <c r="E133" s="142" t="s">
        <v>1251</v>
      </c>
      <c r="F133" s="129" t="s">
        <v>437</v>
      </c>
      <c r="G133" s="142" t="s">
        <v>116</v>
      </c>
      <c r="H133" s="129" t="s">
        <v>1252</v>
      </c>
      <c r="I133" s="129" t="s">
        <v>1253</v>
      </c>
      <c r="J133" s="129" t="s">
        <v>396</v>
      </c>
      <c r="K133" s="129" t="s">
        <v>923</v>
      </c>
      <c r="L133" s="129" t="s">
        <v>1254</v>
      </c>
      <c r="M133" s="129" t="s">
        <v>172</v>
      </c>
      <c r="N133" s="145" t="s">
        <v>173</v>
      </c>
      <c r="O133" s="129" t="s">
        <v>1255</v>
      </c>
      <c r="P133" s="129" t="s">
        <v>1256</v>
      </c>
      <c r="Q133" s="129" t="s">
        <v>176</v>
      </c>
      <c r="R133" s="145" t="s">
        <v>173</v>
      </c>
      <c r="S133" s="76"/>
      <c r="T133" s="146" t="s">
        <v>1257</v>
      </c>
      <c r="U133" s="129" t="s">
        <v>1258</v>
      </c>
      <c r="V133" s="76"/>
      <c r="W133" s="76"/>
      <c r="X133" s="76"/>
      <c r="Y133" s="76"/>
      <c r="Z133" s="76"/>
      <c r="AA133" s="76"/>
      <c r="AB133" s="76"/>
      <c r="AC133" s="76"/>
      <c r="AD133" s="76"/>
    </row>
    <row r="134" spans="1:30">
      <c r="A134" s="143">
        <v>112</v>
      </c>
      <c r="B134" s="144">
        <v>44678</v>
      </c>
      <c r="C134" s="142" t="s">
        <v>32</v>
      </c>
      <c r="D134" s="129" t="s">
        <v>1259</v>
      </c>
      <c r="E134" s="142" t="s">
        <v>1260</v>
      </c>
      <c r="F134" s="129" t="s">
        <v>1173</v>
      </c>
      <c r="G134" s="142" t="s">
        <v>116</v>
      </c>
      <c r="H134" s="129" t="s">
        <v>1261</v>
      </c>
      <c r="I134" s="129" t="s">
        <v>1262</v>
      </c>
      <c r="J134" s="129" t="s">
        <v>566</v>
      </c>
      <c r="K134" s="129" t="s">
        <v>405</v>
      </c>
      <c r="L134" s="129" t="s">
        <v>1263</v>
      </c>
      <c r="M134" s="129" t="s">
        <v>172</v>
      </c>
      <c r="N134" s="145" t="s">
        <v>173</v>
      </c>
      <c r="O134" s="129" t="s">
        <v>1264</v>
      </c>
      <c r="P134" s="129" t="s">
        <v>1265</v>
      </c>
      <c r="Q134" s="129" t="s">
        <v>176</v>
      </c>
      <c r="R134" s="145" t="s">
        <v>173</v>
      </c>
      <c r="S134" s="76"/>
      <c r="T134" s="146" t="s">
        <v>1266</v>
      </c>
      <c r="U134" s="129" t="s">
        <v>1267</v>
      </c>
      <c r="V134" s="76"/>
      <c r="W134" s="76"/>
      <c r="X134" s="76"/>
      <c r="Y134" s="76"/>
      <c r="Z134" s="76"/>
      <c r="AA134" s="76"/>
      <c r="AB134" s="76"/>
      <c r="AC134" s="76"/>
      <c r="AD134" s="76"/>
    </row>
    <row r="135" spans="1:30">
      <c r="A135" s="143">
        <v>113</v>
      </c>
      <c r="B135" s="144">
        <v>44678</v>
      </c>
      <c r="C135" s="142" t="s">
        <v>34</v>
      </c>
      <c r="D135" s="129" t="s">
        <v>1268</v>
      </c>
      <c r="E135" s="142" t="s">
        <v>1269</v>
      </c>
      <c r="F135" s="129" t="s">
        <v>1270</v>
      </c>
      <c r="G135" s="142" t="s">
        <v>116</v>
      </c>
      <c r="H135" s="129" t="s">
        <v>1271</v>
      </c>
      <c r="I135" s="129" t="s">
        <v>521</v>
      </c>
      <c r="J135" s="129" t="s">
        <v>1272</v>
      </c>
      <c r="K135" s="129" t="s">
        <v>854</v>
      </c>
      <c r="L135" s="129" t="s">
        <v>1273</v>
      </c>
      <c r="M135" s="129" t="s">
        <v>172</v>
      </c>
      <c r="N135" s="145" t="s">
        <v>173</v>
      </c>
      <c r="O135" s="129" t="s">
        <v>624</v>
      </c>
      <c r="P135" s="129" t="s">
        <v>1274</v>
      </c>
      <c r="Q135" s="129" t="s">
        <v>176</v>
      </c>
      <c r="R135" s="145" t="s">
        <v>173</v>
      </c>
      <c r="S135" s="76"/>
      <c r="T135" s="146" t="s">
        <v>1275</v>
      </c>
      <c r="U135" s="129" t="s">
        <v>477</v>
      </c>
      <c r="V135" s="76"/>
      <c r="W135" s="76"/>
      <c r="X135" s="76"/>
      <c r="Y135" s="76"/>
      <c r="Z135" s="76"/>
      <c r="AA135" s="76"/>
      <c r="AB135" s="76"/>
      <c r="AC135" s="76"/>
      <c r="AD135" s="76"/>
    </row>
    <row r="136" spans="1:30">
      <c r="A136" s="143">
        <v>114</v>
      </c>
      <c r="B136" s="144">
        <v>44678</v>
      </c>
      <c r="C136" s="142" t="s">
        <v>35</v>
      </c>
      <c r="D136" s="129" t="s">
        <v>1276</v>
      </c>
      <c r="E136" s="142" t="s">
        <v>518</v>
      </c>
      <c r="F136" s="129" t="s">
        <v>1277</v>
      </c>
      <c r="G136" s="142" t="s">
        <v>116</v>
      </c>
      <c r="H136" s="129" t="s">
        <v>1278</v>
      </c>
      <c r="I136" s="129" t="s">
        <v>1279</v>
      </c>
      <c r="J136" s="129" t="s">
        <v>1001</v>
      </c>
      <c r="K136" s="129" t="s">
        <v>170</v>
      </c>
      <c r="L136" s="129" t="s">
        <v>1280</v>
      </c>
      <c r="M136" s="129" t="s">
        <v>172</v>
      </c>
      <c r="N136" s="145" t="s">
        <v>173</v>
      </c>
      <c r="O136" s="129" t="s">
        <v>1281</v>
      </c>
      <c r="P136" s="129" t="s">
        <v>1282</v>
      </c>
      <c r="Q136" s="129" t="s">
        <v>176</v>
      </c>
      <c r="R136" s="145" t="s">
        <v>173</v>
      </c>
      <c r="S136" s="76"/>
      <c r="T136" s="146" t="s">
        <v>1275</v>
      </c>
      <c r="U136" s="129" t="s">
        <v>241</v>
      </c>
      <c r="V136" s="76"/>
      <c r="W136" s="76"/>
      <c r="X136" s="76"/>
      <c r="Y136" s="76"/>
      <c r="Z136" s="76"/>
      <c r="AA136" s="76"/>
      <c r="AB136" s="76"/>
      <c r="AC136" s="76"/>
      <c r="AD136" s="76"/>
    </row>
    <row r="137" spans="1:30">
      <c r="A137" s="143">
        <v>115</v>
      </c>
      <c r="B137" s="144">
        <v>44678</v>
      </c>
      <c r="C137" s="142" t="s">
        <v>36</v>
      </c>
      <c r="D137" s="129" t="s">
        <v>1283</v>
      </c>
      <c r="E137" s="142" t="s">
        <v>1284</v>
      </c>
      <c r="F137" s="129" t="s">
        <v>984</v>
      </c>
      <c r="G137" s="142" t="s">
        <v>116</v>
      </c>
      <c r="H137" s="129" t="s">
        <v>1285</v>
      </c>
      <c r="I137" s="129" t="s">
        <v>1286</v>
      </c>
      <c r="J137" s="129" t="s">
        <v>641</v>
      </c>
      <c r="K137" s="129" t="s">
        <v>1287</v>
      </c>
      <c r="L137" s="129" t="s">
        <v>1288</v>
      </c>
      <c r="M137" s="129" t="s">
        <v>172</v>
      </c>
      <c r="N137" s="145" t="s">
        <v>173</v>
      </c>
      <c r="O137" s="129" t="s">
        <v>543</v>
      </c>
      <c r="P137" s="129" t="s">
        <v>1289</v>
      </c>
      <c r="Q137" s="129" t="s">
        <v>176</v>
      </c>
      <c r="R137" s="145" t="s">
        <v>173</v>
      </c>
      <c r="S137" s="76"/>
      <c r="T137" s="146" t="s">
        <v>284</v>
      </c>
      <c r="U137" s="129" t="s">
        <v>883</v>
      </c>
      <c r="V137" s="76"/>
      <c r="W137" s="76"/>
      <c r="X137" s="76"/>
      <c r="Y137" s="76"/>
      <c r="Z137" s="76"/>
      <c r="AA137" s="76"/>
      <c r="AB137" s="76"/>
      <c r="AC137" s="76"/>
      <c r="AD137" s="76"/>
    </row>
    <row r="138" spans="1:30">
      <c r="A138" s="143">
        <v>116</v>
      </c>
      <c r="B138" s="144">
        <v>44678</v>
      </c>
      <c r="C138" s="142" t="s">
        <v>37</v>
      </c>
      <c r="D138" s="129" t="s">
        <v>1290</v>
      </c>
      <c r="E138" s="142" t="s">
        <v>1051</v>
      </c>
      <c r="F138" s="129" t="s">
        <v>497</v>
      </c>
      <c r="G138" s="142" t="s">
        <v>116</v>
      </c>
      <c r="H138" s="129" t="s">
        <v>1291</v>
      </c>
      <c r="I138" s="129" t="s">
        <v>1292</v>
      </c>
      <c r="J138" s="129" t="s">
        <v>644</v>
      </c>
      <c r="K138" s="129" t="s">
        <v>379</v>
      </c>
      <c r="L138" s="129" t="s">
        <v>1293</v>
      </c>
      <c r="M138" s="129" t="s">
        <v>172</v>
      </c>
      <c r="N138" s="145" t="s">
        <v>173</v>
      </c>
      <c r="O138" s="129" t="s">
        <v>1037</v>
      </c>
      <c r="P138" s="129" t="s">
        <v>1294</v>
      </c>
      <c r="Q138" s="129" t="s">
        <v>176</v>
      </c>
      <c r="R138" s="145" t="s">
        <v>173</v>
      </c>
      <c r="S138" s="76"/>
      <c r="T138" s="146" t="s">
        <v>1295</v>
      </c>
      <c r="U138" s="129" t="s">
        <v>878</v>
      </c>
      <c r="V138" s="76"/>
      <c r="W138" s="76"/>
      <c r="X138" s="76"/>
      <c r="Y138" s="76"/>
      <c r="Z138" s="76"/>
      <c r="AA138" s="76"/>
      <c r="AB138" s="76"/>
      <c r="AC138" s="76"/>
      <c r="AD138" s="76"/>
    </row>
    <row r="139" spans="1:30">
      <c r="A139" s="143">
        <v>117</v>
      </c>
      <c r="B139" s="144">
        <v>44678</v>
      </c>
      <c r="C139" s="142" t="s">
        <v>38</v>
      </c>
      <c r="D139" s="129" t="s">
        <v>1296</v>
      </c>
      <c r="E139" s="142" t="s">
        <v>562</v>
      </c>
      <c r="F139" s="129" t="s">
        <v>1141</v>
      </c>
      <c r="G139" s="142" t="s">
        <v>116</v>
      </c>
      <c r="H139" s="129" t="s">
        <v>1297</v>
      </c>
      <c r="I139" s="129" t="s">
        <v>1298</v>
      </c>
      <c r="J139" s="129" t="s">
        <v>906</v>
      </c>
      <c r="K139" s="129" t="s">
        <v>1017</v>
      </c>
      <c r="L139" s="129" t="s">
        <v>1299</v>
      </c>
      <c r="M139" s="129" t="s">
        <v>172</v>
      </c>
      <c r="N139" s="145" t="s">
        <v>173</v>
      </c>
      <c r="O139" s="129" t="s">
        <v>1300</v>
      </c>
      <c r="P139" s="129" t="s">
        <v>1301</v>
      </c>
      <c r="Q139" s="129" t="s">
        <v>176</v>
      </c>
      <c r="R139" s="145" t="s">
        <v>173</v>
      </c>
      <c r="S139" s="76"/>
      <c r="T139" s="146" t="s">
        <v>1302</v>
      </c>
      <c r="U139" s="129" t="s">
        <v>994</v>
      </c>
      <c r="V139" s="76"/>
      <c r="W139" s="76"/>
      <c r="X139" s="76"/>
      <c r="Y139" s="76"/>
      <c r="Z139" s="76"/>
      <c r="AA139" s="76"/>
      <c r="AB139" s="76"/>
      <c r="AC139" s="76"/>
      <c r="AD139" s="76"/>
    </row>
    <row r="140" spans="1:30">
      <c r="A140" s="143">
        <v>118</v>
      </c>
      <c r="B140" s="144">
        <v>44678</v>
      </c>
      <c r="C140" s="142" t="s">
        <v>39</v>
      </c>
      <c r="D140" s="129" t="s">
        <v>1303</v>
      </c>
      <c r="E140" s="142" t="s">
        <v>1304</v>
      </c>
      <c r="F140" s="129" t="s">
        <v>1305</v>
      </c>
      <c r="G140" s="142" t="s">
        <v>116</v>
      </c>
      <c r="H140" s="129" t="s">
        <v>1306</v>
      </c>
      <c r="I140" s="129" t="s">
        <v>1307</v>
      </c>
      <c r="J140" s="129" t="s">
        <v>1308</v>
      </c>
      <c r="K140" s="129" t="s">
        <v>1309</v>
      </c>
      <c r="L140" s="129" t="s">
        <v>871</v>
      </c>
      <c r="M140" s="129" t="s">
        <v>172</v>
      </c>
      <c r="N140" s="145" t="s">
        <v>173</v>
      </c>
      <c r="O140" s="129" t="s">
        <v>1310</v>
      </c>
      <c r="P140" s="129" t="s">
        <v>415</v>
      </c>
      <c r="Q140" s="129" t="s">
        <v>176</v>
      </c>
      <c r="R140" s="145" t="s">
        <v>173</v>
      </c>
      <c r="S140" s="76"/>
      <c r="T140" s="146" t="s">
        <v>1311</v>
      </c>
      <c r="U140" s="129" t="s">
        <v>1312</v>
      </c>
      <c r="V140" s="76"/>
      <c r="W140" s="76"/>
      <c r="X140" s="76"/>
      <c r="Y140" s="76"/>
      <c r="Z140" s="76"/>
      <c r="AA140" s="76"/>
      <c r="AB140" s="76"/>
      <c r="AC140" s="76"/>
      <c r="AD140" s="76"/>
    </row>
    <row r="141" spans="1:30">
      <c r="A141" s="143">
        <v>119</v>
      </c>
      <c r="B141" s="144">
        <v>44678</v>
      </c>
      <c r="C141" s="142" t="s">
        <v>40</v>
      </c>
      <c r="D141" s="129" t="s">
        <v>1313</v>
      </c>
      <c r="E141" s="142" t="s">
        <v>1314</v>
      </c>
      <c r="F141" s="129" t="s">
        <v>1315</v>
      </c>
      <c r="G141" s="142" t="s">
        <v>116</v>
      </c>
      <c r="H141" s="129" t="s">
        <v>1316</v>
      </c>
      <c r="I141" s="129" t="s">
        <v>1317</v>
      </c>
      <c r="J141" s="129" t="s">
        <v>1318</v>
      </c>
      <c r="K141" s="129" t="s">
        <v>1319</v>
      </c>
      <c r="L141" s="129" t="s">
        <v>1320</v>
      </c>
      <c r="M141" s="129" t="s">
        <v>755</v>
      </c>
      <c r="N141" s="129" t="s">
        <v>1321</v>
      </c>
      <c r="O141" s="129" t="s">
        <v>316</v>
      </c>
      <c r="P141" s="129" t="s">
        <v>1322</v>
      </c>
      <c r="Q141" s="129" t="s">
        <v>176</v>
      </c>
      <c r="R141" s="145" t="s">
        <v>173</v>
      </c>
      <c r="S141" s="76"/>
      <c r="T141" s="146" t="s">
        <v>485</v>
      </c>
      <c r="U141" s="129" t="s">
        <v>1323</v>
      </c>
      <c r="V141" s="76"/>
      <c r="W141" s="76"/>
      <c r="X141" s="76"/>
      <c r="Y141" s="76"/>
      <c r="Z141" s="76"/>
      <c r="AA141" s="76"/>
      <c r="AB141" s="76"/>
      <c r="AC141" s="76"/>
      <c r="AD141" s="76"/>
    </row>
    <row r="142" spans="1:30">
      <c r="A142" s="143">
        <v>120</v>
      </c>
      <c r="B142" s="144">
        <v>44678</v>
      </c>
      <c r="C142" s="142" t="s">
        <v>41</v>
      </c>
      <c r="D142" s="129" t="s">
        <v>1324</v>
      </c>
      <c r="E142" s="142" t="s">
        <v>834</v>
      </c>
      <c r="F142" s="129" t="s">
        <v>1325</v>
      </c>
      <c r="G142" s="142" t="s">
        <v>116</v>
      </c>
      <c r="H142" s="129" t="s">
        <v>1326</v>
      </c>
      <c r="I142" s="129" t="s">
        <v>1327</v>
      </c>
      <c r="J142" s="129" t="s">
        <v>1328</v>
      </c>
      <c r="K142" s="129" t="s">
        <v>713</v>
      </c>
      <c r="L142" s="129" t="s">
        <v>1329</v>
      </c>
      <c r="M142" s="129" t="s">
        <v>172</v>
      </c>
      <c r="N142" s="145" t="s">
        <v>173</v>
      </c>
      <c r="O142" s="129" t="s">
        <v>403</v>
      </c>
      <c r="P142" s="129" t="s">
        <v>1330</v>
      </c>
      <c r="Q142" s="129" t="s">
        <v>176</v>
      </c>
      <c r="R142" s="145" t="s">
        <v>173</v>
      </c>
      <c r="S142" s="76"/>
      <c r="T142" s="146" t="s">
        <v>1331</v>
      </c>
      <c r="U142" s="129" t="s">
        <v>1332</v>
      </c>
      <c r="V142" s="76"/>
      <c r="W142" s="76"/>
      <c r="X142" s="76"/>
      <c r="Y142" s="76"/>
      <c r="Z142" s="76"/>
      <c r="AA142" s="76"/>
      <c r="AB142" s="76"/>
      <c r="AC142" s="76"/>
      <c r="AD142" s="76"/>
    </row>
    <row r="143" spans="1:30">
      <c r="A143" s="143">
        <v>121</v>
      </c>
      <c r="B143" s="144">
        <v>44678</v>
      </c>
      <c r="C143" s="142" t="s">
        <v>42</v>
      </c>
      <c r="D143" s="129" t="s">
        <v>1333</v>
      </c>
      <c r="E143" s="142" t="s">
        <v>1334</v>
      </c>
      <c r="F143" s="129" t="s">
        <v>1335</v>
      </c>
      <c r="G143" s="142" t="s">
        <v>116</v>
      </c>
      <c r="H143" s="129" t="s">
        <v>1336</v>
      </c>
      <c r="I143" s="129" t="s">
        <v>1337</v>
      </c>
      <c r="J143" s="129" t="s">
        <v>920</v>
      </c>
      <c r="K143" s="129" t="s">
        <v>614</v>
      </c>
      <c r="L143" s="129" t="s">
        <v>1338</v>
      </c>
      <c r="M143" s="129" t="s">
        <v>172</v>
      </c>
      <c r="N143" s="145" t="s">
        <v>173</v>
      </c>
      <c r="O143" s="129" t="s">
        <v>779</v>
      </c>
      <c r="P143" s="129" t="s">
        <v>1339</v>
      </c>
      <c r="Q143" s="129" t="s">
        <v>176</v>
      </c>
      <c r="R143" s="145" t="s">
        <v>173</v>
      </c>
      <c r="S143" s="76"/>
      <c r="T143" s="146" t="s">
        <v>1340</v>
      </c>
      <c r="U143" s="129" t="s">
        <v>1098</v>
      </c>
      <c r="V143" s="76"/>
      <c r="W143" s="76"/>
      <c r="X143" s="76"/>
      <c r="Y143" s="76"/>
      <c r="Z143" s="76"/>
      <c r="AA143" s="76"/>
      <c r="AB143" s="76"/>
      <c r="AC143" s="76"/>
      <c r="AD143" s="76"/>
    </row>
    <row r="144" spans="1:30">
      <c r="A144" s="143">
        <v>122</v>
      </c>
      <c r="B144" s="144">
        <v>44678</v>
      </c>
      <c r="C144" s="142" t="s">
        <v>43</v>
      </c>
      <c r="D144" s="129" t="s">
        <v>1341</v>
      </c>
      <c r="E144" s="142" t="s">
        <v>1342</v>
      </c>
      <c r="F144" s="129" t="s">
        <v>1343</v>
      </c>
      <c r="G144" s="142" t="s">
        <v>116</v>
      </c>
      <c r="H144" s="129" t="s">
        <v>1344</v>
      </c>
      <c r="I144" s="129" t="s">
        <v>1345</v>
      </c>
      <c r="J144" s="129" t="s">
        <v>1346</v>
      </c>
      <c r="K144" s="129" t="s">
        <v>349</v>
      </c>
      <c r="L144" s="129" t="s">
        <v>1347</v>
      </c>
      <c r="M144" s="129" t="s">
        <v>172</v>
      </c>
      <c r="N144" s="145" t="s">
        <v>173</v>
      </c>
      <c r="O144" s="129" t="s">
        <v>492</v>
      </c>
      <c r="P144" s="129" t="s">
        <v>1348</v>
      </c>
      <c r="Q144" s="129" t="s">
        <v>176</v>
      </c>
      <c r="R144" s="145" t="s">
        <v>173</v>
      </c>
      <c r="S144" s="76"/>
      <c r="T144" s="146" t="s">
        <v>1349</v>
      </c>
      <c r="U144" s="129" t="s">
        <v>1350</v>
      </c>
      <c r="V144" s="76"/>
      <c r="W144" s="76"/>
      <c r="X144" s="76"/>
      <c r="Y144" s="76"/>
      <c r="Z144" s="76"/>
      <c r="AA144" s="76"/>
      <c r="AB144" s="76"/>
      <c r="AC144" s="76"/>
      <c r="AD144" s="76"/>
    </row>
    <row r="145" spans="1:30">
      <c r="A145" s="143">
        <v>123</v>
      </c>
      <c r="B145" s="144">
        <v>44678</v>
      </c>
      <c r="C145" s="142" t="s">
        <v>44</v>
      </c>
      <c r="D145" s="129" t="s">
        <v>1351</v>
      </c>
      <c r="E145" s="142" t="s">
        <v>1352</v>
      </c>
      <c r="F145" s="129" t="s">
        <v>437</v>
      </c>
      <c r="G145" s="142" t="s">
        <v>116</v>
      </c>
      <c r="H145" s="129" t="s">
        <v>1353</v>
      </c>
      <c r="I145" s="129" t="s">
        <v>1354</v>
      </c>
      <c r="J145" s="129" t="s">
        <v>1355</v>
      </c>
      <c r="K145" s="129" t="s">
        <v>854</v>
      </c>
      <c r="L145" s="129" t="s">
        <v>1356</v>
      </c>
      <c r="M145" s="129" t="s">
        <v>172</v>
      </c>
      <c r="N145" s="145" t="s">
        <v>173</v>
      </c>
      <c r="O145" s="129" t="s">
        <v>483</v>
      </c>
      <c r="P145" s="129" t="s">
        <v>1357</v>
      </c>
      <c r="Q145" s="129" t="s">
        <v>176</v>
      </c>
      <c r="R145" s="145" t="s">
        <v>173</v>
      </c>
      <c r="S145" s="76"/>
      <c r="T145" s="146" t="s">
        <v>1358</v>
      </c>
      <c r="U145" s="129" t="s">
        <v>1066</v>
      </c>
      <c r="V145" s="76"/>
      <c r="W145" s="76"/>
      <c r="X145" s="76"/>
      <c r="Y145" s="76"/>
      <c r="Z145" s="76"/>
      <c r="AA145" s="76"/>
      <c r="AB145" s="76"/>
      <c r="AC145" s="76"/>
      <c r="AD145" s="76"/>
    </row>
    <row r="146" spans="1:30">
      <c r="A146" s="143">
        <v>124</v>
      </c>
      <c r="B146" s="144">
        <v>44678</v>
      </c>
      <c r="C146" s="142" t="s">
        <v>68</v>
      </c>
      <c r="D146" s="129" t="s">
        <v>1359</v>
      </c>
      <c r="E146" s="142" t="s">
        <v>1360</v>
      </c>
      <c r="F146" s="129" t="s">
        <v>1361</v>
      </c>
      <c r="G146" s="142" t="s">
        <v>116</v>
      </c>
      <c r="H146" s="129" t="s">
        <v>1362</v>
      </c>
      <c r="I146" s="129" t="s">
        <v>1363</v>
      </c>
      <c r="J146" s="129" t="s">
        <v>1364</v>
      </c>
      <c r="K146" s="129" t="s">
        <v>1365</v>
      </c>
      <c r="L146" s="129" t="s">
        <v>575</v>
      </c>
      <c r="M146" s="129" t="s">
        <v>1366</v>
      </c>
      <c r="N146" s="129" t="s">
        <v>1367</v>
      </c>
      <c r="O146" s="129" t="s">
        <v>172</v>
      </c>
      <c r="P146" s="145" t="s">
        <v>173</v>
      </c>
      <c r="Q146" s="129" t="s">
        <v>176</v>
      </c>
      <c r="R146" s="145" t="s">
        <v>173</v>
      </c>
      <c r="S146" s="76"/>
      <c r="T146" s="146" t="s">
        <v>583</v>
      </c>
      <c r="U146" s="129" t="s">
        <v>1021</v>
      </c>
      <c r="V146" s="76"/>
      <c r="W146" s="76"/>
      <c r="X146" s="76"/>
      <c r="Y146" s="76"/>
      <c r="Z146" s="76"/>
      <c r="AA146" s="76"/>
      <c r="AB146" s="76"/>
      <c r="AC146" s="76"/>
      <c r="AD146" s="76"/>
    </row>
    <row r="147" spans="1:30">
      <c r="A147" s="143">
        <v>125</v>
      </c>
      <c r="B147" s="144">
        <v>44678</v>
      </c>
      <c r="C147" s="142" t="s">
        <v>69</v>
      </c>
      <c r="D147" s="142" t="s">
        <v>1368</v>
      </c>
      <c r="E147" s="142" t="s">
        <v>1369</v>
      </c>
      <c r="F147" s="142" t="s">
        <v>750</v>
      </c>
      <c r="G147" s="142" t="s">
        <v>116</v>
      </c>
      <c r="H147" s="129" t="s">
        <v>1370</v>
      </c>
      <c r="I147" s="129" t="s">
        <v>1371</v>
      </c>
      <c r="J147" s="129" t="s">
        <v>1021</v>
      </c>
      <c r="K147" s="129" t="s">
        <v>1372</v>
      </c>
      <c r="L147" s="129" t="s">
        <v>1325</v>
      </c>
      <c r="M147" s="129" t="s">
        <v>449</v>
      </c>
      <c r="N147" s="129" t="s">
        <v>1373</v>
      </c>
      <c r="O147" s="129" t="s">
        <v>172</v>
      </c>
      <c r="P147" s="145" t="s">
        <v>173</v>
      </c>
      <c r="Q147" s="129" t="s">
        <v>176</v>
      </c>
      <c r="R147" s="145" t="s">
        <v>173</v>
      </c>
      <c r="S147" s="76"/>
      <c r="T147" s="146" t="s">
        <v>1374</v>
      </c>
      <c r="U147" s="129" t="s">
        <v>1062</v>
      </c>
      <c r="V147" s="76"/>
      <c r="W147" s="76"/>
      <c r="X147" s="76"/>
      <c r="Y147" s="76"/>
      <c r="Z147" s="76"/>
      <c r="AA147" s="76"/>
      <c r="AB147" s="76"/>
      <c r="AC147" s="76"/>
      <c r="AD147" s="76"/>
    </row>
    <row r="148" spans="1:30">
      <c r="A148" s="143">
        <v>126</v>
      </c>
      <c r="B148" s="144">
        <v>44678</v>
      </c>
      <c r="C148" s="142" t="s">
        <v>70</v>
      </c>
      <c r="D148" s="142" t="s">
        <v>1375</v>
      </c>
      <c r="E148" s="142" t="s">
        <v>1376</v>
      </c>
      <c r="F148" s="142" t="s">
        <v>1277</v>
      </c>
      <c r="G148" s="121" t="s">
        <v>116</v>
      </c>
      <c r="H148" s="129" t="s">
        <v>1377</v>
      </c>
      <c r="I148" s="129" t="s">
        <v>1378</v>
      </c>
      <c r="J148" s="129" t="s">
        <v>1379</v>
      </c>
      <c r="K148" s="129" t="s">
        <v>1380</v>
      </c>
      <c r="L148" s="129" t="s">
        <v>1381</v>
      </c>
      <c r="M148" s="129" t="s">
        <v>1382</v>
      </c>
      <c r="N148" s="129" t="s">
        <v>1383</v>
      </c>
      <c r="O148" s="129" t="s">
        <v>391</v>
      </c>
      <c r="P148" s="129" t="s">
        <v>1384</v>
      </c>
      <c r="Q148" s="129" t="s">
        <v>176</v>
      </c>
      <c r="R148" s="145" t="s">
        <v>173</v>
      </c>
      <c r="S148" s="76"/>
      <c r="T148" s="146" t="s">
        <v>361</v>
      </c>
      <c r="U148" s="145" t="s">
        <v>173</v>
      </c>
      <c r="V148" s="76"/>
      <c r="W148" s="76"/>
      <c r="X148" s="76"/>
      <c r="Y148" s="76"/>
      <c r="Z148" s="76"/>
      <c r="AA148" s="76"/>
      <c r="AB148" s="76"/>
      <c r="AC148" s="76"/>
      <c r="AD148" s="76"/>
    </row>
    <row r="149" spans="1:30">
      <c r="A149" s="143">
        <v>127</v>
      </c>
      <c r="B149" s="144">
        <v>44678</v>
      </c>
      <c r="C149" s="142" t="s">
        <v>71</v>
      </c>
      <c r="D149" s="129" t="s">
        <v>1385</v>
      </c>
      <c r="E149" s="142" t="s">
        <v>1153</v>
      </c>
      <c r="F149" s="129" t="s">
        <v>984</v>
      </c>
      <c r="G149" s="142" t="s">
        <v>116</v>
      </c>
      <c r="H149" s="129" t="s">
        <v>1386</v>
      </c>
      <c r="I149" s="129" t="s">
        <v>1387</v>
      </c>
      <c r="J149" s="129" t="s">
        <v>1388</v>
      </c>
      <c r="K149" s="129" t="s">
        <v>1389</v>
      </c>
      <c r="L149" s="129" t="s">
        <v>1390</v>
      </c>
      <c r="M149" s="129" t="s">
        <v>1391</v>
      </c>
      <c r="N149" s="129" t="s">
        <v>678</v>
      </c>
      <c r="O149" s="129" t="s">
        <v>172</v>
      </c>
      <c r="P149" s="145" t="s">
        <v>173</v>
      </c>
      <c r="Q149" s="129" t="s">
        <v>176</v>
      </c>
      <c r="R149" s="145" t="s">
        <v>173</v>
      </c>
      <c r="S149" s="76"/>
      <c r="T149" s="146" t="s">
        <v>1392</v>
      </c>
      <c r="U149" s="129" t="s">
        <v>1393</v>
      </c>
      <c r="V149" s="76"/>
      <c r="W149" s="76"/>
      <c r="X149" s="76"/>
      <c r="Y149" s="76"/>
      <c r="Z149" s="76"/>
      <c r="AA149" s="76"/>
      <c r="AB149" s="76"/>
      <c r="AC149" s="76"/>
      <c r="AD149" s="76"/>
    </row>
    <row r="150" spans="1:30">
      <c r="A150" s="143">
        <v>128</v>
      </c>
      <c r="B150" s="144">
        <v>44678</v>
      </c>
      <c r="C150" s="142" t="s">
        <v>72</v>
      </c>
      <c r="D150" s="129" t="s">
        <v>1394</v>
      </c>
      <c r="E150" s="142" t="s">
        <v>1395</v>
      </c>
      <c r="F150" s="129" t="s">
        <v>1396</v>
      </c>
      <c r="G150" s="142" t="s">
        <v>116</v>
      </c>
      <c r="H150" s="129" t="s">
        <v>1397</v>
      </c>
      <c r="I150" s="129" t="s">
        <v>1398</v>
      </c>
      <c r="J150" s="129" t="s">
        <v>1399</v>
      </c>
      <c r="K150" s="129" t="s">
        <v>316</v>
      </c>
      <c r="L150" s="129" t="s">
        <v>1400</v>
      </c>
      <c r="M150" s="129" t="s">
        <v>1237</v>
      </c>
      <c r="N150" s="129" t="s">
        <v>1401</v>
      </c>
      <c r="O150" s="129" t="s">
        <v>172</v>
      </c>
      <c r="P150" s="145" t="s">
        <v>173</v>
      </c>
      <c r="Q150" s="129" t="s">
        <v>176</v>
      </c>
      <c r="R150" s="145" t="s">
        <v>173</v>
      </c>
      <c r="S150" s="76"/>
      <c r="T150" s="146" t="s">
        <v>903</v>
      </c>
      <c r="U150" s="129" t="s">
        <v>1402</v>
      </c>
      <c r="V150" s="76"/>
      <c r="W150" s="76"/>
      <c r="X150" s="76"/>
      <c r="Y150" s="76"/>
      <c r="Z150" s="76"/>
      <c r="AA150" s="76"/>
      <c r="AB150" s="76"/>
      <c r="AC150" s="76"/>
      <c r="AD150" s="76"/>
    </row>
    <row r="151" spans="1:30">
      <c r="A151" s="143">
        <v>129</v>
      </c>
      <c r="B151" s="144">
        <v>44678</v>
      </c>
      <c r="C151" s="142" t="s">
        <v>73</v>
      </c>
      <c r="D151" s="129" t="s">
        <v>1403</v>
      </c>
      <c r="E151" s="142" t="s">
        <v>1404</v>
      </c>
      <c r="F151" s="129" t="s">
        <v>1405</v>
      </c>
      <c r="G151" s="142" t="s">
        <v>116</v>
      </c>
      <c r="H151" s="129" t="s">
        <v>1406</v>
      </c>
      <c r="I151" s="129" t="s">
        <v>1407</v>
      </c>
      <c r="J151" s="129" t="s">
        <v>1408</v>
      </c>
      <c r="K151" s="129" t="s">
        <v>1409</v>
      </c>
      <c r="L151" s="129" t="s">
        <v>348</v>
      </c>
      <c r="M151" s="129" t="s">
        <v>395</v>
      </c>
      <c r="N151" s="129" t="s">
        <v>1410</v>
      </c>
      <c r="O151" s="129" t="s">
        <v>1411</v>
      </c>
      <c r="P151" s="129" t="s">
        <v>1412</v>
      </c>
      <c r="Q151" s="129" t="s">
        <v>176</v>
      </c>
      <c r="R151" s="145" t="s">
        <v>173</v>
      </c>
      <c r="S151" s="76"/>
      <c r="T151" s="146" t="s">
        <v>1319</v>
      </c>
      <c r="U151" s="129" t="s">
        <v>1413</v>
      </c>
      <c r="V151" s="76"/>
      <c r="W151" s="76"/>
      <c r="X151" s="76"/>
      <c r="Y151" s="76"/>
      <c r="Z151" s="76"/>
      <c r="AA151" s="76"/>
      <c r="AB151" s="76"/>
      <c r="AC151" s="76"/>
      <c r="AD151" s="76"/>
    </row>
    <row r="152" spans="1:30">
      <c r="A152" s="143">
        <v>130</v>
      </c>
      <c r="B152" s="144">
        <v>44678</v>
      </c>
      <c r="C152" s="142" t="s">
        <v>74</v>
      </c>
      <c r="D152" s="129" t="s">
        <v>1414</v>
      </c>
      <c r="E152" s="142" t="s">
        <v>1415</v>
      </c>
      <c r="F152" s="129" t="s">
        <v>1416</v>
      </c>
      <c r="G152" s="142" t="s">
        <v>116</v>
      </c>
      <c r="H152" s="129" t="s">
        <v>1417</v>
      </c>
      <c r="I152" s="129" t="s">
        <v>1418</v>
      </c>
      <c r="J152" s="129" t="s">
        <v>220</v>
      </c>
      <c r="K152" s="129" t="s">
        <v>403</v>
      </c>
      <c r="L152" s="129" t="s">
        <v>1419</v>
      </c>
      <c r="M152" s="129" t="s">
        <v>1420</v>
      </c>
      <c r="N152" s="129" t="s">
        <v>702</v>
      </c>
      <c r="O152" s="129" t="s">
        <v>172</v>
      </c>
      <c r="P152" s="145" t="s">
        <v>173</v>
      </c>
      <c r="Q152" s="129" t="s">
        <v>176</v>
      </c>
      <c r="R152" s="145" t="s">
        <v>173</v>
      </c>
      <c r="S152" s="76"/>
      <c r="T152" s="146" t="s">
        <v>1421</v>
      </c>
      <c r="U152" s="129" t="s">
        <v>406</v>
      </c>
      <c r="V152" s="76"/>
      <c r="W152" s="76"/>
      <c r="X152" s="76"/>
      <c r="Y152" s="76"/>
      <c r="Z152" s="76"/>
      <c r="AA152" s="76"/>
      <c r="AB152" s="76"/>
      <c r="AC152" s="76"/>
      <c r="AD152" s="76"/>
    </row>
    <row r="153" spans="1:30">
      <c r="A153" s="143">
        <v>131</v>
      </c>
      <c r="B153" s="144">
        <v>44678</v>
      </c>
      <c r="C153" s="142" t="s">
        <v>75</v>
      </c>
      <c r="D153" s="129" t="s">
        <v>1422</v>
      </c>
      <c r="E153" s="142" t="s">
        <v>424</v>
      </c>
      <c r="F153" s="129" t="s">
        <v>609</v>
      </c>
      <c r="G153" s="142" t="s">
        <v>116</v>
      </c>
      <c r="H153" s="129" t="s">
        <v>1423</v>
      </c>
      <c r="I153" s="129" t="s">
        <v>1424</v>
      </c>
      <c r="J153" s="129" t="s">
        <v>1425</v>
      </c>
      <c r="K153" s="129" t="s">
        <v>696</v>
      </c>
      <c r="L153" s="129" t="s">
        <v>1426</v>
      </c>
      <c r="M153" s="129" t="s">
        <v>645</v>
      </c>
      <c r="N153" s="129" t="s">
        <v>434</v>
      </c>
      <c r="O153" s="129" t="s">
        <v>172</v>
      </c>
      <c r="P153" s="145" t="s">
        <v>173</v>
      </c>
      <c r="Q153" s="129" t="s">
        <v>176</v>
      </c>
      <c r="R153" s="145" t="s">
        <v>173</v>
      </c>
      <c r="S153" s="76"/>
      <c r="T153" s="146" t="s">
        <v>1427</v>
      </c>
      <c r="U153" s="129" t="s">
        <v>551</v>
      </c>
      <c r="V153" s="76"/>
      <c r="W153" s="76"/>
      <c r="X153" s="76"/>
      <c r="Y153" s="76"/>
      <c r="Z153" s="76"/>
      <c r="AA153" s="76"/>
      <c r="AB153" s="76"/>
      <c r="AC153" s="76"/>
      <c r="AD153" s="76"/>
    </row>
    <row r="154" spans="1:30">
      <c r="A154" s="143">
        <v>132</v>
      </c>
      <c r="B154" s="144">
        <v>44678</v>
      </c>
      <c r="C154" s="142" t="s">
        <v>76</v>
      </c>
      <c r="D154" s="129" t="s">
        <v>1428</v>
      </c>
      <c r="E154" s="142" t="s">
        <v>411</v>
      </c>
      <c r="F154" s="129" t="s">
        <v>1429</v>
      </c>
      <c r="G154" s="142" t="s">
        <v>116</v>
      </c>
      <c r="H154" s="129" t="s">
        <v>1430</v>
      </c>
      <c r="I154" s="129" t="s">
        <v>919</v>
      </c>
      <c r="J154" s="129" t="s">
        <v>1431</v>
      </c>
      <c r="K154" s="129" t="s">
        <v>1056</v>
      </c>
      <c r="L154" s="129" t="s">
        <v>1432</v>
      </c>
      <c r="M154" s="129" t="s">
        <v>1433</v>
      </c>
      <c r="N154" s="129" t="s">
        <v>1434</v>
      </c>
      <c r="O154" s="129" t="s">
        <v>172</v>
      </c>
      <c r="P154" s="145" t="s">
        <v>173</v>
      </c>
      <c r="Q154" s="129" t="s">
        <v>176</v>
      </c>
      <c r="R154" s="145" t="s">
        <v>173</v>
      </c>
      <c r="S154" s="76"/>
      <c r="T154" s="146" t="s">
        <v>614</v>
      </c>
      <c r="U154" s="129" t="s">
        <v>1435</v>
      </c>
      <c r="V154" s="76"/>
      <c r="W154" s="76"/>
      <c r="X154" s="76"/>
      <c r="Y154" s="76"/>
      <c r="Z154" s="76"/>
      <c r="AA154" s="76"/>
      <c r="AB154" s="76"/>
      <c r="AC154" s="76"/>
      <c r="AD154" s="76"/>
    </row>
    <row r="155" spans="1:30">
      <c r="A155" s="143">
        <v>133</v>
      </c>
      <c r="B155" s="144">
        <v>44678</v>
      </c>
      <c r="C155" s="142" t="s">
        <v>77</v>
      </c>
      <c r="D155" s="129" t="s">
        <v>1436</v>
      </c>
      <c r="E155" s="142" t="s">
        <v>1437</v>
      </c>
      <c r="F155" s="129" t="s">
        <v>1438</v>
      </c>
      <c r="G155" s="142" t="s">
        <v>116</v>
      </c>
      <c r="H155" s="129" t="s">
        <v>1439</v>
      </c>
      <c r="I155" s="129" t="s">
        <v>1440</v>
      </c>
      <c r="J155" s="129" t="s">
        <v>1388</v>
      </c>
      <c r="K155" s="129" t="s">
        <v>371</v>
      </c>
      <c r="L155" s="129" t="s">
        <v>1441</v>
      </c>
      <c r="M155" s="129" t="s">
        <v>1442</v>
      </c>
      <c r="N155" s="129" t="s">
        <v>1443</v>
      </c>
      <c r="O155" s="129" t="s">
        <v>172</v>
      </c>
      <c r="P155" s="145" t="s">
        <v>173</v>
      </c>
      <c r="Q155" s="129" t="s">
        <v>176</v>
      </c>
      <c r="R155" s="145" t="s">
        <v>173</v>
      </c>
      <c r="S155" s="76"/>
      <c r="T155" s="146" t="s">
        <v>1444</v>
      </c>
      <c r="U155" s="129" t="s">
        <v>169</v>
      </c>
      <c r="V155" s="76"/>
      <c r="W155" s="76"/>
      <c r="X155" s="76"/>
      <c r="Y155" s="76"/>
      <c r="Z155" s="76"/>
      <c r="AA155" s="76"/>
      <c r="AB155" s="76"/>
      <c r="AC155" s="76"/>
      <c r="AD155" s="76"/>
    </row>
    <row r="156" spans="1:30">
      <c r="A156" s="143">
        <v>134</v>
      </c>
      <c r="B156" s="144">
        <v>44678</v>
      </c>
      <c r="C156" s="142" t="s">
        <v>78</v>
      </c>
      <c r="D156" s="129" t="s">
        <v>1445</v>
      </c>
      <c r="E156" s="142" t="s">
        <v>1446</v>
      </c>
      <c r="F156" s="129" t="s">
        <v>1396</v>
      </c>
      <c r="G156" s="142" t="s">
        <v>116</v>
      </c>
      <c r="H156" s="129" t="s">
        <v>1447</v>
      </c>
      <c r="I156" s="129" t="s">
        <v>1448</v>
      </c>
      <c r="J156" s="129" t="s">
        <v>1449</v>
      </c>
      <c r="K156" s="129" t="s">
        <v>524</v>
      </c>
      <c r="L156" s="129" t="s">
        <v>1450</v>
      </c>
      <c r="M156" s="129" t="s">
        <v>1451</v>
      </c>
      <c r="N156" s="129" t="s">
        <v>605</v>
      </c>
      <c r="O156" s="129" t="s">
        <v>172</v>
      </c>
      <c r="P156" s="145" t="s">
        <v>173</v>
      </c>
      <c r="Q156" s="129" t="s">
        <v>176</v>
      </c>
      <c r="R156" s="145" t="s">
        <v>173</v>
      </c>
      <c r="S156" s="76"/>
      <c r="T156" s="146" t="s">
        <v>1452</v>
      </c>
      <c r="U156" s="129" t="s">
        <v>1453</v>
      </c>
      <c r="V156" s="76"/>
      <c r="W156" s="76"/>
      <c r="X156" s="76"/>
      <c r="Y156" s="76"/>
      <c r="Z156" s="76"/>
      <c r="AA156" s="76"/>
      <c r="AB156" s="76"/>
      <c r="AC156" s="76"/>
      <c r="AD156" s="76"/>
    </row>
    <row r="157" spans="1:30">
      <c r="A157" s="143">
        <v>135</v>
      </c>
      <c r="B157" s="144">
        <v>44678</v>
      </c>
      <c r="C157" s="142" t="s">
        <v>79</v>
      </c>
      <c r="D157" s="129" t="s">
        <v>1454</v>
      </c>
      <c r="E157" s="142" t="s">
        <v>1143</v>
      </c>
      <c r="F157" s="129" t="s">
        <v>502</v>
      </c>
      <c r="G157" s="142" t="s">
        <v>116</v>
      </c>
      <c r="H157" s="129" t="s">
        <v>1386</v>
      </c>
      <c r="I157" s="129" t="s">
        <v>1455</v>
      </c>
      <c r="J157" s="129" t="s">
        <v>1456</v>
      </c>
      <c r="K157" s="129" t="s">
        <v>616</v>
      </c>
      <c r="L157" s="129" t="s">
        <v>1457</v>
      </c>
      <c r="M157" s="129" t="s">
        <v>677</v>
      </c>
      <c r="N157" s="129" t="s">
        <v>1315</v>
      </c>
      <c r="O157" s="129" t="s">
        <v>172</v>
      </c>
      <c r="P157" s="145" t="s">
        <v>173</v>
      </c>
      <c r="Q157" s="129" t="s">
        <v>176</v>
      </c>
      <c r="R157" s="145" t="s">
        <v>173</v>
      </c>
      <c r="S157" s="76"/>
      <c r="T157" s="146" t="s">
        <v>1458</v>
      </c>
      <c r="U157" s="129" t="s">
        <v>1129</v>
      </c>
      <c r="V157" s="76"/>
      <c r="W157" s="76"/>
      <c r="X157" s="76"/>
      <c r="Y157" s="76"/>
      <c r="Z157" s="76"/>
      <c r="AA157" s="76"/>
      <c r="AB157" s="76"/>
      <c r="AC157" s="76"/>
      <c r="AD157" s="76"/>
    </row>
    <row r="158" spans="1:30">
      <c r="A158" s="76"/>
      <c r="B158" s="76"/>
      <c r="C158" s="76"/>
      <c r="D158" s="76"/>
      <c r="E158" s="76"/>
      <c r="F158" s="76"/>
      <c r="G158" s="76"/>
      <c r="H158" s="122"/>
      <c r="I158" s="122"/>
      <c r="J158" s="122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</row>
    <row r="159" spans="1:30">
      <c r="A159" s="147" t="s">
        <v>33</v>
      </c>
      <c r="B159" s="148">
        <v>32065</v>
      </c>
      <c r="C159" s="75" t="s">
        <v>29</v>
      </c>
      <c r="D159" s="76"/>
      <c r="E159" s="76"/>
      <c r="F159" s="76"/>
      <c r="G159" s="76"/>
      <c r="H159" s="122"/>
      <c r="I159" s="122"/>
      <c r="J159" s="122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</row>
    <row r="160" spans="1:30">
      <c r="A160" s="128" t="s">
        <v>1459</v>
      </c>
      <c r="B160" s="149">
        <v>55845</v>
      </c>
      <c r="C160" s="142" t="s">
        <v>29</v>
      </c>
      <c r="D160" s="76"/>
      <c r="E160" s="76"/>
      <c r="F160" s="76"/>
      <c r="G160" s="76"/>
      <c r="H160" s="122"/>
      <c r="I160" s="122"/>
      <c r="J160" s="122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</row>
    <row r="161" spans="1:30">
      <c r="A161" s="76"/>
      <c r="B161" s="76"/>
      <c r="C161" s="76"/>
      <c r="D161" s="76"/>
      <c r="E161" s="76"/>
      <c r="F161" s="76"/>
      <c r="G161" s="76"/>
      <c r="H161" s="122"/>
      <c r="I161" s="122"/>
      <c r="J161" s="122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</row>
    <row r="162" spans="1:30">
      <c r="A162" s="150" t="s">
        <v>1460</v>
      </c>
      <c r="B162" s="151" t="s">
        <v>1461</v>
      </c>
      <c r="C162" s="152" t="s">
        <v>1462</v>
      </c>
      <c r="D162" s="76"/>
      <c r="E162" s="76"/>
      <c r="F162" s="76"/>
      <c r="G162" s="76"/>
      <c r="H162" s="122"/>
      <c r="I162" s="122"/>
      <c r="J162" s="122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</row>
    <row r="163" spans="1:30">
      <c r="A163" s="153" t="s">
        <v>1463</v>
      </c>
      <c r="B163" s="154">
        <v>1148234966</v>
      </c>
      <c r="C163" s="156" t="s">
        <v>1464</v>
      </c>
      <c r="D163" s="76"/>
      <c r="E163" s="76"/>
      <c r="F163" s="76"/>
      <c r="G163" s="76"/>
      <c r="H163" s="122"/>
      <c r="I163" s="122"/>
      <c r="J163" s="122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</row>
    <row r="164" spans="1:30">
      <c r="A164" s="153" t="s">
        <v>1465</v>
      </c>
      <c r="B164" s="154">
        <v>1353610402</v>
      </c>
      <c r="C164" s="156" t="s">
        <v>1466</v>
      </c>
      <c r="D164" s="76"/>
      <c r="E164" s="76"/>
      <c r="F164" s="76"/>
      <c r="G164" s="76"/>
      <c r="H164" s="122"/>
      <c r="I164" s="122"/>
      <c r="J164" s="122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</row>
    <row r="165" spans="1:30">
      <c r="A165" s="153" t="s">
        <v>1467</v>
      </c>
      <c r="B165" s="76" t="s">
        <v>1468</v>
      </c>
      <c r="C165" s="156" t="s">
        <v>1469</v>
      </c>
      <c r="D165" s="76"/>
      <c r="E165" s="76"/>
      <c r="F165" s="76"/>
      <c r="G165" s="76"/>
      <c r="H165" s="122"/>
      <c r="I165" s="122"/>
      <c r="J165" s="122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</row>
    <row r="166" spans="1:30">
      <c r="A166" s="153" t="s">
        <v>1470</v>
      </c>
      <c r="B166" s="154">
        <v>2434437233</v>
      </c>
      <c r="C166" s="155" t="s">
        <v>1471</v>
      </c>
      <c r="D166" s="76"/>
      <c r="E166" s="76"/>
      <c r="F166" s="76"/>
      <c r="G166" s="76"/>
      <c r="H166" s="122"/>
      <c r="I166" s="122"/>
      <c r="J166" s="122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</row>
    <row r="167" spans="1:30">
      <c r="A167" s="153" t="s">
        <v>1472</v>
      </c>
      <c r="B167" s="154">
        <v>2452716292</v>
      </c>
      <c r="C167" s="155" t="s">
        <v>1473</v>
      </c>
      <c r="D167" s="76"/>
      <c r="E167" s="76"/>
      <c r="F167" s="76"/>
      <c r="G167" s="76"/>
      <c r="H167" s="122"/>
      <c r="I167" s="122"/>
      <c r="J167" s="122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</row>
    <row r="168" spans="1:30">
      <c r="A168" s="153" t="s">
        <v>1474</v>
      </c>
      <c r="B168" s="154">
        <v>2385588687</v>
      </c>
      <c r="C168" s="155" t="s">
        <v>1475</v>
      </c>
      <c r="D168" s="76"/>
      <c r="E168" s="76"/>
      <c r="F168" s="76"/>
      <c r="G168" s="76"/>
      <c r="H168" s="122"/>
      <c r="I168" s="122"/>
      <c r="J168" s="122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</row>
    <row r="169" spans="1:30">
      <c r="A169" s="153" t="s">
        <v>1476</v>
      </c>
      <c r="B169" s="76" t="s">
        <v>1477</v>
      </c>
      <c r="C169" s="155" t="s">
        <v>1478</v>
      </c>
      <c r="D169" s="76"/>
      <c r="E169" s="76"/>
      <c r="F169" s="76"/>
      <c r="G169" s="76"/>
      <c r="H169" s="122"/>
      <c r="I169" s="122"/>
      <c r="J169" s="122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</row>
    <row r="170" spans="1:30">
      <c r="A170" s="153" t="s">
        <v>1479</v>
      </c>
      <c r="B170" s="76" t="s">
        <v>1480</v>
      </c>
      <c r="C170" s="156" t="s">
        <v>1481</v>
      </c>
      <c r="D170" s="76"/>
      <c r="E170" s="76"/>
      <c r="F170" s="76"/>
      <c r="G170" s="76"/>
      <c r="H170" s="122"/>
      <c r="I170" s="122"/>
      <c r="J170" s="122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</row>
    <row r="171" spans="1:30">
      <c r="A171" s="153" t="s">
        <v>1482</v>
      </c>
      <c r="B171" s="154">
        <v>1141223865</v>
      </c>
      <c r="C171" s="156" t="s">
        <v>1483</v>
      </c>
      <c r="D171" s="76"/>
      <c r="E171" s="76"/>
      <c r="F171" s="76"/>
      <c r="G171" s="76"/>
      <c r="H171" s="122"/>
      <c r="I171" s="122"/>
      <c r="J171" s="122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</row>
    <row r="172" spans="1:30">
      <c r="A172" s="153" t="s">
        <v>1484</v>
      </c>
      <c r="B172" s="154">
        <v>1008802352</v>
      </c>
      <c r="C172" s="156" t="s">
        <v>1485</v>
      </c>
      <c r="D172" s="76"/>
      <c r="E172" s="76"/>
      <c r="F172" s="76"/>
      <c r="G172" s="76"/>
      <c r="H172" s="122"/>
      <c r="I172" s="122"/>
      <c r="J172" s="122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 spans="1:30">
      <c r="A173" s="153" t="s">
        <v>1486</v>
      </c>
      <c r="B173" s="154">
        <v>1849873662</v>
      </c>
      <c r="C173" s="155" t="s">
        <v>1487</v>
      </c>
      <c r="D173" s="76"/>
      <c r="E173" s="76"/>
      <c r="F173" s="76"/>
      <c r="G173" s="76"/>
      <c r="H173" s="122"/>
      <c r="I173" s="122"/>
      <c r="J173" s="122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 spans="1:30">
      <c r="A174" s="153" t="s">
        <v>1488</v>
      </c>
      <c r="B174" s="154">
        <v>1575253543</v>
      </c>
      <c r="C174" s="155" t="s">
        <v>1489</v>
      </c>
      <c r="D174" s="76"/>
      <c r="E174" s="76"/>
      <c r="F174" s="76"/>
      <c r="G174" s="76"/>
      <c r="H174" s="122"/>
      <c r="I174" s="122"/>
      <c r="J174" s="122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 spans="1:30">
      <c r="A175" s="153" t="s">
        <v>1490</v>
      </c>
      <c r="B175" s="154">
        <v>1058026143</v>
      </c>
      <c r="C175" s="155" t="s">
        <v>1491</v>
      </c>
      <c r="D175" s="76"/>
      <c r="E175" s="76"/>
      <c r="F175" s="76"/>
      <c r="G175" s="76"/>
      <c r="H175" s="122"/>
      <c r="I175" s="122"/>
      <c r="J175" s="122"/>
      <c r="K175" s="76"/>
      <c r="L175" s="76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</row>
    <row r="176" spans="1:30">
      <c r="A176" s="153" t="s">
        <v>1492</v>
      </c>
      <c r="B176" s="154">
        <v>1001786355</v>
      </c>
      <c r="C176" s="155" t="s">
        <v>1493</v>
      </c>
      <c r="D176" s="76"/>
      <c r="E176" s="76"/>
      <c r="F176" s="76"/>
      <c r="G176" s="76"/>
      <c r="H176" s="122"/>
      <c r="I176" s="122"/>
      <c r="J176" s="122"/>
      <c r="K176" s="76"/>
      <c r="L176" s="76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</row>
    <row r="177" spans="1:30">
      <c r="A177" s="157" t="s">
        <v>1494</v>
      </c>
      <c r="B177" s="158">
        <v>1560276991</v>
      </c>
      <c r="C177" s="159" t="s">
        <v>1495</v>
      </c>
      <c r="D177" s="76"/>
      <c r="E177" s="76"/>
      <c r="F177" s="76"/>
      <c r="G177" s="76"/>
      <c r="H177" s="122"/>
      <c r="I177" s="122"/>
      <c r="J177" s="122"/>
      <c r="K177" s="76"/>
      <c r="L177" s="76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</row>
    <row r="178" spans="1:30">
      <c r="A178" s="153" t="s">
        <v>1496</v>
      </c>
      <c r="B178" s="160" t="s">
        <v>1497</v>
      </c>
      <c r="C178" s="155" t="s">
        <v>1498</v>
      </c>
      <c r="D178" s="76"/>
      <c r="E178" s="76"/>
      <c r="F178" s="76"/>
      <c r="G178" s="76"/>
      <c r="H178" s="122"/>
      <c r="I178" s="122"/>
      <c r="J178" s="122"/>
      <c r="K178" s="76"/>
      <c r="L178" s="76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  <c r="AD178" s="214"/>
    </row>
    <row r="179" spans="1:30">
      <c r="A179" s="153" t="s">
        <v>1499</v>
      </c>
      <c r="B179" s="154">
        <v>-7811</v>
      </c>
      <c r="C179" s="156" t="s">
        <v>1500</v>
      </c>
      <c r="D179" s="76"/>
      <c r="E179" s="76"/>
      <c r="F179" s="76"/>
      <c r="G179" s="76"/>
      <c r="H179" s="122"/>
      <c r="I179" s="122"/>
      <c r="J179" s="122"/>
      <c r="K179" s="76"/>
      <c r="L179" s="76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</row>
    <row r="180" spans="1:30">
      <c r="A180" s="153" t="s">
        <v>1501</v>
      </c>
      <c r="B180" s="160" t="s">
        <v>1502</v>
      </c>
      <c r="C180" s="155" t="s">
        <v>1503</v>
      </c>
      <c r="D180" s="76"/>
      <c r="E180" s="76"/>
      <c r="F180" s="76"/>
      <c r="G180" s="76"/>
      <c r="H180" s="122"/>
      <c r="I180" s="122"/>
      <c r="J180" s="122"/>
      <c r="K180" s="76"/>
      <c r="L180" s="76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  <c r="AD180" s="214"/>
    </row>
    <row r="181" spans="1:30">
      <c r="A181" s="153" t="s">
        <v>1504</v>
      </c>
      <c r="B181" s="160" t="s">
        <v>1505</v>
      </c>
      <c r="C181" s="155" t="s">
        <v>1506</v>
      </c>
      <c r="D181" s="76"/>
      <c r="E181" s="76"/>
      <c r="F181" s="76"/>
      <c r="G181" s="76"/>
      <c r="H181" s="122"/>
      <c r="I181" s="122"/>
      <c r="J181" s="122"/>
      <c r="K181" s="76"/>
      <c r="L181" s="76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  <c r="AC181" s="214"/>
      <c r="AD181" s="214"/>
    </row>
    <row r="182" spans="1:30">
      <c r="A182" s="153" t="s">
        <v>1507</v>
      </c>
      <c r="B182" s="160" t="s">
        <v>1508</v>
      </c>
      <c r="C182" s="155" t="s">
        <v>1509</v>
      </c>
      <c r="D182" s="76"/>
      <c r="E182" s="76"/>
      <c r="F182" s="76"/>
      <c r="G182" s="76"/>
      <c r="H182" s="122"/>
      <c r="I182" s="122"/>
      <c r="J182" s="122"/>
      <c r="K182" s="76"/>
      <c r="L182" s="76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</row>
    <row r="183" spans="1:30">
      <c r="A183" s="153" t="s">
        <v>1510</v>
      </c>
      <c r="B183" s="160" t="s">
        <v>1511</v>
      </c>
      <c r="C183" s="156" t="s">
        <v>1512</v>
      </c>
      <c r="D183" s="76"/>
      <c r="E183" s="76"/>
      <c r="F183" s="76"/>
      <c r="G183" s="76"/>
      <c r="H183" s="122"/>
      <c r="I183" s="122"/>
      <c r="J183" s="122"/>
      <c r="K183" s="76"/>
      <c r="L183" s="76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  <c r="AA183" s="214"/>
      <c r="AB183" s="214"/>
      <c r="AC183" s="214"/>
      <c r="AD183" s="214"/>
    </row>
    <row r="184" spans="1:30">
      <c r="A184" s="153" t="s">
        <v>1513</v>
      </c>
      <c r="B184" s="160" t="s">
        <v>1514</v>
      </c>
      <c r="C184" s="155" t="s">
        <v>1515</v>
      </c>
      <c r="D184" s="76"/>
      <c r="E184" s="76"/>
      <c r="F184" s="76"/>
      <c r="G184" s="76"/>
      <c r="H184" s="122"/>
      <c r="I184" s="122"/>
      <c r="J184" s="122"/>
      <c r="K184" s="76"/>
      <c r="L184" s="76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  <c r="AA184" s="214"/>
      <c r="AB184" s="214"/>
      <c r="AC184" s="214"/>
      <c r="AD184" s="214"/>
    </row>
    <row r="185" spans="1:30">
      <c r="A185" s="153" t="s">
        <v>1516</v>
      </c>
      <c r="B185" s="76" t="s">
        <v>1517</v>
      </c>
      <c r="C185" s="155" t="s">
        <v>1518</v>
      </c>
      <c r="D185" s="76"/>
      <c r="E185" s="76"/>
      <c r="F185" s="76"/>
      <c r="G185" s="76"/>
      <c r="H185" s="122"/>
      <c r="I185" s="122"/>
      <c r="J185" s="122"/>
      <c r="K185" s="76"/>
      <c r="L185" s="76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</row>
    <row r="186" spans="1:30">
      <c r="A186" s="153" t="s">
        <v>1519</v>
      </c>
      <c r="B186" s="76" t="s">
        <v>1520</v>
      </c>
      <c r="C186" s="155" t="s">
        <v>1521</v>
      </c>
      <c r="D186" s="76"/>
      <c r="E186" s="76"/>
      <c r="F186" s="76"/>
      <c r="G186" s="76"/>
      <c r="H186" s="122"/>
      <c r="I186" s="122"/>
      <c r="J186" s="122"/>
      <c r="K186" s="76"/>
      <c r="L186" s="76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  <c r="AD186" s="214"/>
    </row>
    <row r="187" spans="1:30">
      <c r="A187" s="153" t="s">
        <v>1522</v>
      </c>
      <c r="B187" s="160" t="s">
        <v>1523</v>
      </c>
      <c r="C187" s="155" t="s">
        <v>1524</v>
      </c>
      <c r="D187" s="76"/>
      <c r="E187" s="76"/>
      <c r="F187" s="76"/>
      <c r="G187" s="76"/>
      <c r="H187" s="122"/>
      <c r="I187" s="122"/>
      <c r="J187" s="122"/>
      <c r="K187" s="76"/>
      <c r="L187" s="76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</row>
    <row r="188" spans="1:30">
      <c r="A188" s="153" t="s">
        <v>1525</v>
      </c>
      <c r="B188" s="160" t="s">
        <v>1526</v>
      </c>
      <c r="C188" s="155" t="s">
        <v>1527</v>
      </c>
      <c r="D188" s="76"/>
      <c r="E188" s="76"/>
      <c r="F188" s="76"/>
      <c r="G188" s="76"/>
      <c r="H188" s="122"/>
      <c r="I188" s="122"/>
      <c r="J188" s="122"/>
      <c r="K188" s="76"/>
      <c r="L188" s="76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  <c r="AD188" s="214"/>
    </row>
    <row r="189" spans="1:30">
      <c r="A189" s="157" t="s">
        <v>1528</v>
      </c>
      <c r="B189" s="161" t="s">
        <v>1529</v>
      </c>
      <c r="C189" s="159" t="s">
        <v>1530</v>
      </c>
      <c r="D189" s="76"/>
      <c r="E189" s="76"/>
      <c r="F189" s="76"/>
      <c r="G189" s="76"/>
      <c r="H189" s="122"/>
      <c r="I189" s="122"/>
      <c r="J189" s="122"/>
      <c r="K189" s="76"/>
      <c r="L189" s="76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  <c r="AD189" s="214"/>
    </row>
    <row r="190" spans="1:30">
      <c r="A190" s="76"/>
      <c r="B190" s="76"/>
      <c r="C190" s="76"/>
      <c r="D190" s="76"/>
      <c r="E190" s="76"/>
      <c r="F190" s="76"/>
      <c r="G190" s="76"/>
      <c r="H190" s="122"/>
      <c r="I190" s="122"/>
      <c r="J190" s="122"/>
      <c r="K190" s="76"/>
      <c r="L190" s="76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  <c r="AD190" s="214"/>
    </row>
    <row r="191" spans="1:30">
      <c r="A191" s="76"/>
      <c r="B191" s="76"/>
      <c r="C191" s="76"/>
      <c r="D191" s="76"/>
      <c r="E191" s="76"/>
      <c r="F191" s="76"/>
      <c r="G191" s="76"/>
      <c r="H191" s="122"/>
      <c r="I191" s="122"/>
      <c r="J191" s="122"/>
      <c r="K191" s="76"/>
      <c r="L191" s="76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</row>
    <row r="192" spans="1:30">
      <c r="A192" s="76"/>
      <c r="B192" s="76"/>
      <c r="C192" s="76"/>
      <c r="D192" s="76"/>
      <c r="E192" s="76"/>
      <c r="F192" s="76"/>
      <c r="G192" s="76"/>
      <c r="H192" s="122"/>
      <c r="I192" s="122"/>
      <c r="J192" s="122"/>
      <c r="K192" s="76"/>
      <c r="L192" s="76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</row>
    <row r="193" spans="1:30">
      <c r="A193" s="76"/>
      <c r="B193" s="76"/>
      <c r="C193" s="76"/>
      <c r="D193" s="76"/>
      <c r="E193" s="76"/>
      <c r="F193" s="76"/>
      <c r="G193" s="76"/>
      <c r="H193" s="122"/>
      <c r="I193" s="122"/>
      <c r="J193" s="122"/>
      <c r="K193" s="76"/>
      <c r="L193" s="76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  <c r="AD193" s="214"/>
    </row>
    <row r="194" spans="1:30">
      <c r="A194" s="76"/>
      <c r="B194" s="76"/>
      <c r="C194" s="76"/>
      <c r="D194" s="76"/>
      <c r="E194" s="76"/>
      <c r="F194" s="76"/>
      <c r="G194" s="76"/>
      <c r="H194" s="122"/>
      <c r="I194" s="122"/>
      <c r="J194" s="122"/>
      <c r="K194" s="76"/>
      <c r="L194" s="76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  <c r="AD194" s="214"/>
    </row>
    <row r="195" spans="1:30">
      <c r="A195" s="76"/>
      <c r="B195" s="76"/>
      <c r="C195" s="76"/>
      <c r="D195" s="76"/>
      <c r="E195" s="76"/>
      <c r="F195" s="76"/>
      <c r="G195" s="76"/>
      <c r="H195" s="122"/>
      <c r="I195" s="122"/>
      <c r="J195" s="122"/>
      <c r="K195" s="76"/>
      <c r="L195" s="76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  <c r="AD195" s="214"/>
    </row>
    <row r="196" spans="1:30">
      <c r="A196" s="76"/>
      <c r="B196" s="76"/>
      <c r="C196" s="76"/>
      <c r="D196" s="76"/>
      <c r="E196" s="76"/>
      <c r="F196" s="76"/>
      <c r="G196" s="76"/>
      <c r="H196" s="122"/>
      <c r="I196" s="122"/>
      <c r="J196" s="122"/>
      <c r="K196" s="76"/>
      <c r="L196" s="76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4"/>
      <c r="AD196" s="214"/>
    </row>
    <row r="197" spans="1:30">
      <c r="A197" s="76"/>
      <c r="B197" s="76"/>
      <c r="C197" s="76"/>
      <c r="D197" s="76"/>
      <c r="E197" s="76"/>
      <c r="F197" s="76"/>
      <c r="G197" s="76"/>
      <c r="H197" s="122"/>
      <c r="I197" s="122"/>
      <c r="J197" s="122"/>
      <c r="K197" s="76"/>
      <c r="L197" s="76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  <c r="AD197" s="214"/>
    </row>
    <row r="198" spans="1:30">
      <c r="A198" s="76"/>
      <c r="B198" s="76"/>
      <c r="C198" s="76"/>
      <c r="D198" s="76"/>
      <c r="E198" s="76"/>
      <c r="F198" s="76"/>
      <c r="G198" s="76"/>
      <c r="H198" s="122"/>
      <c r="I198" s="122"/>
      <c r="J198" s="122"/>
      <c r="K198" s="76"/>
      <c r="L198" s="76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  <c r="AD198" s="214"/>
    </row>
    <row r="199" spans="1:30">
      <c r="A199" s="76"/>
      <c r="B199" s="76"/>
      <c r="C199" s="76"/>
      <c r="D199" s="76"/>
      <c r="E199" s="76"/>
      <c r="F199" s="76"/>
      <c r="G199" s="76"/>
      <c r="H199" s="122"/>
      <c r="I199" s="122"/>
      <c r="J199" s="122"/>
      <c r="K199" s="76"/>
      <c r="L199" s="76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  <c r="AA199" s="214"/>
      <c r="AB199" s="214"/>
      <c r="AC199" s="214"/>
      <c r="AD199" s="214"/>
    </row>
    <row r="200" spans="1:30">
      <c r="A200" s="76"/>
      <c r="B200" s="76"/>
      <c r="C200" s="76"/>
      <c r="D200" s="76"/>
      <c r="E200" s="76"/>
      <c r="F200" s="76"/>
      <c r="G200" s="76"/>
      <c r="H200" s="122"/>
      <c r="I200" s="122"/>
      <c r="J200" s="122"/>
      <c r="K200" s="76"/>
      <c r="L200" s="76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  <c r="AA200" s="214"/>
      <c r="AB200" s="214"/>
      <c r="AC200" s="214"/>
      <c r="AD200" s="214"/>
    </row>
    <row r="201" spans="1:30">
      <c r="A201" s="76"/>
      <c r="B201" s="76"/>
      <c r="C201" s="76"/>
      <c r="D201" s="76"/>
      <c r="E201" s="76"/>
      <c r="F201" s="76"/>
      <c r="G201" s="76"/>
      <c r="H201" s="122"/>
      <c r="I201" s="122"/>
      <c r="J201" s="122"/>
      <c r="K201" s="76"/>
      <c r="L201" s="76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  <c r="AA201" s="214"/>
      <c r="AB201" s="214"/>
      <c r="AC201" s="214"/>
      <c r="AD201" s="214"/>
    </row>
    <row r="202" spans="1:30">
      <c r="A202" s="76"/>
      <c r="B202" s="76"/>
      <c r="C202" s="76"/>
      <c r="D202" s="76"/>
      <c r="E202" s="76"/>
      <c r="F202" s="76"/>
      <c r="G202" s="76"/>
      <c r="H202" s="122"/>
      <c r="I202" s="122"/>
      <c r="J202" s="122"/>
      <c r="K202" s="76"/>
      <c r="L202" s="76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  <c r="AA202" s="214"/>
      <c r="AB202" s="214"/>
      <c r="AC202" s="214"/>
      <c r="AD202" s="214"/>
    </row>
    <row r="203" spans="1:30">
      <c r="A203" s="76"/>
      <c r="B203" s="76"/>
      <c r="C203" s="76"/>
      <c r="D203" s="76"/>
      <c r="E203" s="76"/>
      <c r="F203" s="76"/>
      <c r="G203" s="76"/>
      <c r="H203" s="122"/>
      <c r="I203" s="122"/>
      <c r="J203" s="122"/>
      <c r="K203" s="76"/>
      <c r="L203" s="76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  <c r="AD203" s="214"/>
    </row>
    <row r="204" spans="1:30">
      <c r="A204" s="76"/>
      <c r="B204" s="76"/>
      <c r="C204" s="76"/>
      <c r="D204" s="76"/>
      <c r="E204" s="76"/>
      <c r="F204" s="76"/>
      <c r="G204" s="76"/>
      <c r="H204" s="122"/>
      <c r="I204" s="122"/>
      <c r="J204" s="122"/>
      <c r="K204" s="76"/>
      <c r="L204" s="76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  <c r="AA204" s="214"/>
      <c r="AB204" s="214"/>
      <c r="AC204" s="214"/>
      <c r="AD204" s="214"/>
    </row>
    <row r="205" spans="1:30">
      <c r="A205" s="76"/>
      <c r="B205" s="76"/>
      <c r="C205" s="76"/>
      <c r="D205" s="76"/>
      <c r="E205" s="76"/>
      <c r="F205" s="76"/>
      <c r="G205" s="76"/>
      <c r="H205" s="122"/>
      <c r="I205" s="122"/>
      <c r="J205" s="122"/>
      <c r="K205" s="76"/>
      <c r="L205" s="76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  <c r="AA205" s="214"/>
      <c r="AB205" s="214"/>
      <c r="AC205" s="214"/>
      <c r="AD205" s="214"/>
    </row>
    <row r="206" spans="1:30">
      <c r="A206" s="76"/>
      <c r="B206" s="76"/>
      <c r="C206" s="76"/>
      <c r="D206" s="76"/>
      <c r="E206" s="76"/>
      <c r="F206" s="76"/>
      <c r="G206" s="76"/>
      <c r="H206" s="122"/>
      <c r="I206" s="122"/>
      <c r="J206" s="122"/>
      <c r="K206" s="76"/>
      <c r="L206" s="76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  <c r="AA206" s="214"/>
      <c r="AB206" s="214"/>
      <c r="AC206" s="214"/>
      <c r="AD206" s="214"/>
    </row>
    <row r="207" spans="1:30">
      <c r="A207" s="76"/>
      <c r="B207" s="76"/>
      <c r="C207" s="76"/>
      <c r="D207" s="76"/>
      <c r="E207" s="76"/>
      <c r="F207" s="76"/>
      <c r="G207" s="76"/>
      <c r="H207" s="122"/>
      <c r="I207" s="122"/>
      <c r="J207" s="122"/>
      <c r="K207" s="76"/>
      <c r="L207" s="76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  <c r="AA207" s="214"/>
      <c r="AB207" s="214"/>
      <c r="AC207" s="214"/>
      <c r="AD207" s="214"/>
    </row>
    <row r="208" spans="1:30">
      <c r="A208" s="76"/>
      <c r="B208" s="76"/>
      <c r="C208" s="76"/>
      <c r="D208" s="76"/>
      <c r="E208" s="76"/>
      <c r="F208" s="76"/>
      <c r="G208" s="76"/>
      <c r="H208" s="122"/>
      <c r="I208" s="122"/>
      <c r="J208" s="122"/>
      <c r="K208" s="76"/>
      <c r="L208" s="76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</row>
    <row r="209" spans="1:30">
      <c r="A209" s="76"/>
      <c r="B209" s="76"/>
      <c r="C209" s="76"/>
      <c r="D209" s="76"/>
      <c r="E209" s="76"/>
      <c r="F209" s="76"/>
      <c r="G209" s="76"/>
      <c r="H209" s="122"/>
      <c r="I209" s="122"/>
      <c r="J209" s="122"/>
      <c r="K209" s="76"/>
      <c r="L209" s="76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  <c r="AA209" s="214"/>
      <c r="AB209" s="214"/>
      <c r="AC209" s="214"/>
      <c r="AD209" s="214"/>
    </row>
    <row r="210" spans="1:30">
      <c r="A210" s="76"/>
      <c r="B210" s="76"/>
      <c r="C210" s="76"/>
      <c r="D210" s="76"/>
      <c r="E210" s="76"/>
      <c r="F210" s="76"/>
      <c r="G210" s="76"/>
      <c r="H210" s="122"/>
      <c r="I210" s="122"/>
      <c r="J210" s="122"/>
      <c r="K210" s="76"/>
      <c r="L210" s="76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  <c r="AA210" s="214"/>
      <c r="AB210" s="214"/>
      <c r="AC210" s="214"/>
      <c r="AD210" s="214"/>
    </row>
    <row r="211" spans="1:30">
      <c r="A211" s="76"/>
      <c r="B211" s="76"/>
      <c r="C211" s="76"/>
      <c r="D211" s="76"/>
      <c r="E211" s="76"/>
      <c r="F211" s="76"/>
      <c r="G211" s="76"/>
      <c r="H211" s="122"/>
      <c r="I211" s="122"/>
      <c r="J211" s="122"/>
      <c r="K211" s="76"/>
      <c r="L211" s="76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  <c r="AA211" s="214"/>
      <c r="AB211" s="214"/>
      <c r="AC211" s="214"/>
      <c r="AD211" s="214"/>
    </row>
    <row r="212" spans="1:30">
      <c r="A212" s="76"/>
      <c r="B212" s="76"/>
      <c r="C212" s="76"/>
      <c r="D212" s="76"/>
      <c r="E212" s="76"/>
      <c r="F212" s="76"/>
      <c r="G212" s="76"/>
      <c r="H212" s="122"/>
      <c r="I212" s="122"/>
      <c r="J212" s="122"/>
      <c r="K212" s="76"/>
      <c r="L212" s="76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  <c r="AD212" s="214"/>
    </row>
    <row r="213" spans="1:30">
      <c r="A213" s="76"/>
      <c r="B213" s="76"/>
      <c r="C213" s="76"/>
      <c r="D213" s="76"/>
      <c r="E213" s="76"/>
      <c r="F213" s="76"/>
      <c r="G213" s="76"/>
      <c r="H213" s="122"/>
      <c r="I213" s="122"/>
      <c r="J213" s="122"/>
      <c r="K213" s="76"/>
      <c r="L213" s="76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214"/>
      <c r="AC213" s="214"/>
      <c r="AD213" s="214"/>
    </row>
    <row r="214" spans="1:30">
      <c r="A214" s="76"/>
      <c r="B214" s="76"/>
      <c r="C214" s="76"/>
      <c r="D214" s="76"/>
      <c r="E214" s="76"/>
      <c r="F214" s="76"/>
      <c r="G214" s="76"/>
      <c r="H214" s="122"/>
      <c r="I214" s="122"/>
      <c r="J214" s="122"/>
      <c r="K214" s="76"/>
      <c r="L214" s="76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214"/>
      <c r="AC214" s="214"/>
      <c r="AD214" s="214"/>
    </row>
  </sheetData>
  <mergeCells count="14">
    <mergeCell ref="T13:U13"/>
    <mergeCell ref="H13:J13"/>
    <mergeCell ref="K13:L13"/>
    <mergeCell ref="M13:N13"/>
    <mergeCell ref="O13:P13"/>
    <mergeCell ref="Q13:R13"/>
    <mergeCell ref="T19:U19"/>
    <mergeCell ref="M175:AD214"/>
    <mergeCell ref="D19:F19"/>
    <mergeCell ref="H19:J19"/>
    <mergeCell ref="K19:L19"/>
    <mergeCell ref="M19:N19"/>
    <mergeCell ref="O19:P19"/>
    <mergeCell ref="Q19:R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8C3469A545EF4E8DF8C760F3451068" ma:contentTypeVersion="2" ma:contentTypeDescription="Opret et nyt dokument." ma:contentTypeScope="" ma:versionID="dd85211303c2fe6fb7a7d7b34b3af9ff">
  <xsd:schema xmlns:xsd="http://www.w3.org/2001/XMLSchema" xmlns:xs="http://www.w3.org/2001/XMLSchema" xmlns:p="http://schemas.microsoft.com/office/2006/metadata/properties" xmlns:ns2="226d57c9-4497-4a38-a9e3-30a20f41084c" targetNamespace="http://schemas.microsoft.com/office/2006/metadata/properties" ma:root="true" ma:fieldsID="06489eb51848ee90bebb9b6d7d731b6d" ns2:_="">
    <xsd:import namespace="226d57c9-4497-4a38-a9e3-30a20f410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d57c9-4497-4a38-a9e3-30a20f410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4A9FBF-3F2E-4F00-9411-04814359059C}"/>
</file>

<file path=customXml/itemProps2.xml><?xml version="1.0" encoding="utf-8"?>
<ds:datastoreItem xmlns:ds="http://schemas.openxmlformats.org/officeDocument/2006/customXml" ds:itemID="{4F20AA49-74EB-4751-83A6-FD1F2F15E5D7}"/>
</file>

<file path=customXml/itemProps3.xml><?xml version="1.0" encoding="utf-8"?>
<ds:datastoreItem xmlns:ds="http://schemas.openxmlformats.org/officeDocument/2006/customXml" ds:itemID="{E87704EE-6E30-429F-B4B9-944AC09C78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</dc:creator>
  <cp:keywords/>
  <dc:description/>
  <cp:lastModifiedBy>Oliver Brincks Lund</cp:lastModifiedBy>
  <cp:revision/>
  <dcterms:created xsi:type="dcterms:W3CDTF">2022-03-08T08:37:06Z</dcterms:created>
  <dcterms:modified xsi:type="dcterms:W3CDTF">2022-05-30T09:42:29Z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0x0101005B8C3469A545EF4E8DF8C760F3451068</vt:lpwstr>
  </property>
</Properties>
</file>