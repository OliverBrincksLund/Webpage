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  <extLst>
    <ext uri="GoogleSheetsCustomDataVersion1">
      <go:sheetsCustomData xmlns:go="http://customooxmlschemas.google.com/" r:id="rId5" roundtripDataSignature="AMtx7mgyL4mPaMvwrrYLiBHCeyTlGZRJ9w=="/>
    </ext>
  </extLst>
</workbook>
</file>

<file path=xl/sharedStrings.xml><?xml version="1.0" encoding="utf-8"?>
<sst xmlns="http://schemas.openxmlformats.org/spreadsheetml/2006/main" count="33" uniqueCount="11">
  <si>
    <t>FV/FM</t>
  </si>
  <si>
    <t>1.2</t>
  </si>
  <si>
    <t>1.1</t>
  </si>
  <si>
    <t>1.3</t>
  </si>
  <si>
    <t>1.4</t>
  </si>
  <si>
    <t>Dato</t>
  </si>
  <si>
    <t>Plant 1</t>
  </si>
  <si>
    <t>Plant 2</t>
  </si>
  <si>
    <t>Plant 3</t>
  </si>
  <si>
    <t>Plant 4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</si>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</sst>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</font>
    <font>
      <sz val="12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1"/>
        <bgColor theme="1"/>
      </patternFill>
    </fill>
    <fill>
      <patternFill patternType="solid">
        <fgColor rgb="FFAEABAB"/>
        <bgColor rgb="FFAEABA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0" fontId="1" numFmtId="0" xfId="0" applyBorder="1" applyFont="1"/>
    <xf borderId="2" fillId="0" fontId="1" numFmtId="14" xfId="0" applyAlignment="1" applyBorder="1" applyFont="1" applyNumberFormat="1">
      <alignment vertical="center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8.56"/>
    <col customWidth="1" min="9" max="9" width="9.89"/>
    <col customWidth="1" min="10" max="26" width="8.56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4" t="s">
        <v>5</v>
      </c>
    </row>
    <row r="2">
      <c r="A2" s="1" t="s">
        <v>6</v>
      </c>
      <c r="B2" s="5">
        <f>(0.558+0.588)/2</f>
        <v>0.573</v>
      </c>
      <c r="C2" s="5"/>
      <c r="D2" s="5">
        <f>(0.531+0.581)/2</f>
        <v>0.556</v>
      </c>
      <c r="E2" s="5"/>
      <c r="F2" s="5">
        <f>(0.56+0.55)/2</f>
        <v>0.555</v>
      </c>
      <c r="G2" s="5"/>
      <c r="H2" s="5">
        <f>(0.563+0.564)/2</f>
        <v>0.5635</v>
      </c>
      <c r="I2" s="6">
        <v>44505.0</v>
      </c>
    </row>
    <row r="3">
      <c r="A3" s="1" t="s">
        <v>7</v>
      </c>
      <c r="B3" s="5">
        <f>(0.447+0.604)/2</f>
        <v>0.5255</v>
      </c>
      <c r="C3" s="5"/>
      <c r="D3" s="5">
        <f>(0.503+0.58)/2</f>
        <v>0.5415</v>
      </c>
      <c r="E3" s="5"/>
      <c r="F3" s="5">
        <f>(0.532)</f>
        <v>0.532</v>
      </c>
      <c r="G3" s="5"/>
      <c r="H3" s="5">
        <v>0.432</v>
      </c>
      <c r="I3" s="7"/>
    </row>
    <row r="4">
      <c r="A4" s="1" t="s">
        <v>8</v>
      </c>
      <c r="B4" s="5">
        <f>(0.439+0.5)/2</f>
        <v>0.4695</v>
      </c>
      <c r="C4" s="5"/>
      <c r="D4" s="5">
        <f>(0.564)</f>
        <v>0.564</v>
      </c>
      <c r="E4" s="5"/>
      <c r="F4" s="5">
        <v>0.566</v>
      </c>
      <c r="G4" s="5"/>
      <c r="H4" s="5">
        <v>0.589</v>
      </c>
      <c r="I4" s="7"/>
    </row>
    <row r="5">
      <c r="A5" s="1" t="s">
        <v>9</v>
      </c>
      <c r="B5" s="5">
        <f>(0.526+0.373)/2</f>
        <v>0.4495</v>
      </c>
      <c r="C5" s="5"/>
      <c r="D5" s="5">
        <f>(0.55)</f>
        <v>0.55</v>
      </c>
      <c r="E5" s="5"/>
      <c r="F5" s="5">
        <v>0.661</v>
      </c>
      <c r="G5" s="5"/>
      <c r="H5" s="5">
        <f>(0.597+0.563)/2</f>
        <v>0.58</v>
      </c>
      <c r="I5" s="7"/>
    </row>
    <row r="6">
      <c r="A6" s="1" t="s">
        <v>10</v>
      </c>
      <c r="B6" s="5">
        <f>SUM(B2:B5)/4</f>
        <v>0.504375</v>
      </c>
      <c r="C6" s="5"/>
      <c r="D6" s="5">
        <f>SUM(D2:D5)/4</f>
        <v>0.552875</v>
      </c>
      <c r="E6" s="5"/>
      <c r="F6" s="5">
        <f>SUM(F2:F5)/4</f>
        <v>0.5785</v>
      </c>
      <c r="G6" s="5"/>
      <c r="H6" s="5">
        <f>SUM(H2:H5)/4</f>
        <v>0.541125</v>
      </c>
      <c r="I6" s="8"/>
    </row>
    <row r="7"/>
    <row r="8">
      <c r="A8" s="1" t="s">
        <v>0</v>
      </c>
      <c r="B8" s="2" t="s">
        <v>1</v>
      </c>
      <c r="C8" s="3"/>
      <c r="D8" s="2" t="s">
        <v>2</v>
      </c>
      <c r="E8" s="3"/>
      <c r="F8" s="2" t="s">
        <v>3</v>
      </c>
      <c r="G8" s="3"/>
      <c r="H8" s="2" t="s">
        <v>4</v>
      </c>
      <c r="I8" s="4" t="s">
        <v>5</v>
      </c>
    </row>
    <row r="9">
      <c r="A9" s="1" t="s">
        <v>6</v>
      </c>
      <c r="B9" s="5">
        <f>(0.573+0.63)/2</f>
        <v>0.6015</v>
      </c>
      <c r="C9" s="5"/>
      <c r="D9" s="5">
        <f>(0.57+0.657)/2</f>
        <v>0.6135</v>
      </c>
      <c r="E9" s="5"/>
      <c r="F9" s="5">
        <f>(0.599+0.45)/2</f>
        <v>0.5245</v>
      </c>
      <c r="G9" s="5"/>
      <c r="H9" s="9">
        <v>0.504</v>
      </c>
      <c r="I9" s="6">
        <v>44505.0</v>
      </c>
    </row>
    <row r="10">
      <c r="A10" s="1" t="s">
        <v>7</v>
      </c>
      <c r="B10" s="5">
        <f>(0.611)</f>
        <v>0.611</v>
      </c>
      <c r="C10" s="5"/>
      <c r="D10" s="5">
        <f>(0.491+0.577)/2</f>
        <v>0.534</v>
      </c>
      <c r="E10" s="5"/>
      <c r="F10" s="5">
        <f>(0.455+0.57)/2</f>
        <v>0.5125</v>
      </c>
      <c r="G10" s="5"/>
      <c r="H10" s="5">
        <f>(0.57+0.449)/2</f>
        <v>0.5095</v>
      </c>
      <c r="I10" s="7"/>
    </row>
    <row r="11">
      <c r="A11" s="1" t="s">
        <v>8</v>
      </c>
      <c r="B11" s="5">
        <f>0.5</f>
        <v>0.5</v>
      </c>
      <c r="C11" s="5"/>
      <c r="D11" s="5">
        <f>(0.567+0.457)/2</f>
        <v>0.512</v>
      </c>
      <c r="E11" s="5"/>
      <c r="F11" s="5">
        <f>(0.589+0.561)/2</f>
        <v>0.575</v>
      </c>
      <c r="G11" s="5"/>
      <c r="H11" s="5">
        <f>0.499</f>
        <v>0.499</v>
      </c>
      <c r="I11" s="7"/>
    </row>
    <row r="12">
      <c r="A12" s="1" t="s">
        <v>9</v>
      </c>
      <c r="B12" s="5">
        <f>(0.5+0.55)/2</f>
        <v>0.525</v>
      </c>
      <c r="C12" s="5"/>
      <c r="D12" s="5">
        <f>(0.52+0.56)/2</f>
        <v>0.54</v>
      </c>
      <c r="E12" s="5"/>
      <c r="F12" s="5">
        <f>(0.552+0.501)/2</f>
        <v>0.5265</v>
      </c>
      <c r="G12" s="5"/>
      <c r="H12" s="9">
        <v>0.5</v>
      </c>
      <c r="I12" s="7"/>
    </row>
    <row r="13">
      <c r="A13" s="1" t="s">
        <v>10</v>
      </c>
      <c r="B13" s="5">
        <f>SUM(B9:B12)/4</f>
        <v>0.559375</v>
      </c>
      <c r="C13" s="5"/>
      <c r="D13" s="5">
        <f>SUM(D9:D12)/4</f>
        <v>0.549875</v>
      </c>
      <c r="E13" s="5"/>
      <c r="F13" s="5">
        <f>SUM(F9:F12)/4</f>
        <v>0.534625</v>
      </c>
      <c r="G13" s="5"/>
      <c r="H13" s="5">
        <f>SUM(H9:H12)/4</f>
        <v>0.503125</v>
      </c>
      <c r="I13" s="8"/>
    </row>
    <row r="14"/>
    <row r="15">
      <c r="A15" s="1" t="s">
        <v>0</v>
      </c>
      <c r="B15" s="2" t="s">
        <v>1</v>
      </c>
      <c r="C15" s="3"/>
      <c r="D15" s="2" t="s">
        <v>2</v>
      </c>
      <c r="E15" s="3"/>
      <c r="F15" s="2" t="s">
        <v>3</v>
      </c>
      <c r="G15" s="3"/>
      <c r="H15" s="2" t="s">
        <v>4</v>
      </c>
      <c r="I15" s="4" t="s">
        <v>5</v>
      </c>
    </row>
    <row r="16">
      <c r="A16" s="1" t="s">
        <v>6</v>
      </c>
      <c r="B16" s="5">
        <f>(0.66+0.598)/2</f>
        <v>0.629</v>
      </c>
      <c r="C16" s="5"/>
      <c r="D16" s="5">
        <f>(0.529+0.537)/2</f>
        <v>0.533</v>
      </c>
      <c r="E16" s="5"/>
      <c r="F16" s="5">
        <f>(0.77+0.62)/2</f>
        <v>0.695</v>
      </c>
      <c r="G16" s="5"/>
      <c r="H16" s="9">
        <f>(0.631)</f>
        <v>0.631</v>
      </c>
      <c r="I16" s="6"/>
    </row>
    <row r="17">
      <c r="A17" s="1" t="s">
        <v>7</v>
      </c>
      <c r="B17" s="5">
        <f>(0.54+0.615)/2</f>
        <v>0.5775</v>
      </c>
      <c r="C17" s="5"/>
      <c r="D17" s="5">
        <f>(0.617+0.62)/2</f>
        <v>0.6185</v>
      </c>
      <c r="E17" s="5"/>
      <c r="F17" s="5">
        <f>(0.446+0.62)/2</f>
        <v>0.533</v>
      </c>
      <c r="G17" s="5"/>
      <c r="H17" s="5">
        <f>(0.609)</f>
        <v>0.609</v>
      </c>
      <c r="I17" s="7"/>
    </row>
    <row r="18">
      <c r="A18" s="1" t="s">
        <v>8</v>
      </c>
      <c r="B18" s="5">
        <f>(0.527+0.58)/2</f>
        <v>0.5535</v>
      </c>
      <c r="C18" s="5"/>
      <c r="D18" s="5">
        <f>(0.597+0.6)/2</f>
        <v>0.5985</v>
      </c>
      <c r="E18" s="5"/>
      <c r="F18" s="5">
        <f>(0.62+0.63)/2</f>
        <v>0.625</v>
      </c>
      <c r="G18" s="5"/>
      <c r="H18" s="5">
        <f>(0.567+0.542)/2</f>
        <v>0.5545</v>
      </c>
      <c r="I18" s="7"/>
    </row>
    <row r="19">
      <c r="A19" s="1" t="s">
        <v>9</v>
      </c>
      <c r="B19" s="5">
        <f>(0.65+0.592)/2</f>
        <v>0.621</v>
      </c>
      <c r="C19" s="5"/>
      <c r="D19" s="5">
        <f>(0.583+0.642)/2</f>
        <v>0.6125</v>
      </c>
      <c r="E19" s="5"/>
      <c r="F19" s="5">
        <f>(0.569+0.4)/2</f>
        <v>0.4845</v>
      </c>
      <c r="G19" s="5"/>
      <c r="H19" s="9">
        <f>(0.596+0.548)/2</f>
        <v>0.572</v>
      </c>
      <c r="I19" s="7"/>
    </row>
    <row r="20">
      <c r="A20" s="1" t="s">
        <v>10</v>
      </c>
      <c r="B20" s="5">
        <f>SUM(B16:B19)/4</f>
        <v>0.59525</v>
      </c>
      <c r="C20" s="5"/>
      <c r="D20" s="5">
        <f>SUM(D16:D19)/4</f>
        <v>0.590625</v>
      </c>
      <c r="E20" s="5"/>
      <c r="F20" s="5">
        <f>SUM(F16:F19)/4</f>
        <v>0.584375</v>
      </c>
      <c r="G20" s="5"/>
      <c r="H20" s="5">
        <f>SUM(H16:H19)/4</f>
        <v>0.591625</v>
      </c>
      <c r="I20" s="8"/>
    </row>
  </sheetData>
  <mergeCells count="3">
    <mergeCell ref="I2:I6"/>
    <mergeCell ref="I9:I13"/>
    <mergeCell ref="I16:I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2021-11-05T08:38:28Z</dcterms:created>
  <dc:creator>Magnus Andersen</dc:creator>
</cp:coreProperties>
</file>