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1" sheetId="1" r:id="rId4"/>
  </sheets>
  <definedNames/>
  <calcPr/>
</workbook>
</file>

<file path=xl/sharedStrings.xml><?xml version="1.0" encoding="utf-8"?>
<sst xmlns="http://schemas.openxmlformats.org/spreadsheetml/2006/main" count="72" uniqueCount="27">
  <si>
    <t>Nr.</t>
  </si>
  <si>
    <t>Light config.</t>
  </si>
  <si>
    <t>Wet weight</t>
  </si>
  <si>
    <t>Root WW</t>
  </si>
  <si>
    <t>Dry weight</t>
  </si>
  <si>
    <t>Dry roots</t>
  </si>
  <si>
    <t>Shoot:Root</t>
  </si>
  <si>
    <t>Poser:</t>
  </si>
  <si>
    <t>1.3</t>
  </si>
  <si>
    <t>Control</t>
  </si>
  <si>
    <t>3 g</t>
  </si>
  <si>
    <t>1.4</t>
  </si>
  <si>
    <t>UV-6</t>
  </si>
  <si>
    <t>1.1</t>
  </si>
  <si>
    <t>UV-12</t>
  </si>
  <si>
    <t>Shoot WW</t>
  </si>
  <si>
    <t>SEM</t>
  </si>
  <si>
    <t>Shoot DW</t>
  </si>
  <si>
    <t>Root DW</t>
  </si>
  <si>
    <t>Shoot:root</t>
  </si>
  <si>
    <t>1.2</t>
  </si>
  <si>
    <t>UV-18</t>
  </si>
  <si>
    <t>%</t>
  </si>
  <si>
    <t>Area [cm^2]</t>
  </si>
  <si>
    <t>Increase ift. control</t>
  </si>
  <si>
    <t>WW % increase</t>
  </si>
  <si>
    <t>DW % increase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</si>
</sst>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0.0"/>
      <color rgb="FF000000"/>
      <name val="Arial"/>
    </font>
    <font>
      <sz val="11.0"/>
      <color rgb="FF000000"/>
      <name val="Calibri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1" fillId="2" fontId="1" numFmtId="0" xfId="0" applyAlignment="1" applyBorder="1" applyFont="1">
      <alignment readingOrder="0" shrinkToFit="0" vertical="bottom" wrapText="0"/>
    </xf>
    <xf borderId="1" fillId="3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Alignment="1" applyFill="1" applyFont="1">
      <alignment readingOrder="0"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0" fillId="0" fontId="2" numFmtId="0" xfId="0" applyFont="1"/>
    <xf borderId="1" fillId="4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I1" s="4" t="s">
        <v>7</v>
      </c>
    </row>
    <row r="2">
      <c r="A2" s="5" t="s">
        <v>8</v>
      </c>
      <c r="B2" s="6" t="s">
        <v>9</v>
      </c>
      <c r="C2" s="7">
        <f>(530+474)-6</f>
        <v>998</v>
      </c>
      <c r="D2" s="7">
        <f>252-3</f>
        <v>249</v>
      </c>
      <c r="E2" s="7">
        <f>(5.9+5.8)-6</f>
        <v>5.7</v>
      </c>
      <c r="F2" s="7">
        <f>4.2-3</f>
        <v>1.2</v>
      </c>
      <c r="G2" s="7">
        <f t="shared" ref="G2:G16" si="1">E2/F2</f>
        <v>4.75</v>
      </c>
      <c r="I2" s="4" t="s">
        <v>10</v>
      </c>
    </row>
    <row r="3">
      <c r="A3" s="5" t="s">
        <v>8</v>
      </c>
      <c r="B3" s="6" t="s">
        <v>9</v>
      </c>
      <c r="C3" s="7">
        <f>(565+279)-6</f>
        <v>838</v>
      </c>
      <c r="D3" s="7">
        <f>174-3</f>
        <v>171</v>
      </c>
      <c r="E3" s="7">
        <f>(4.4+5.3)-6</f>
        <v>3.7</v>
      </c>
      <c r="F3" s="8">
        <f>3.4-3</f>
        <v>0.4</v>
      </c>
      <c r="G3" s="7">
        <f t="shared" si="1"/>
        <v>9.25</v>
      </c>
    </row>
    <row r="4">
      <c r="A4" s="5" t="s">
        <v>8</v>
      </c>
      <c r="B4" s="6" t="s">
        <v>9</v>
      </c>
      <c r="C4" s="7">
        <f>(514+608)-6</f>
        <v>1116</v>
      </c>
      <c r="D4" s="7">
        <f>312-3</f>
        <v>309</v>
      </c>
      <c r="E4" s="7">
        <f>(6.3+5.9)-6</f>
        <v>6.2</v>
      </c>
      <c r="F4" s="8">
        <f>4.5-3</f>
        <v>1.5</v>
      </c>
      <c r="G4" s="7">
        <f t="shared" si="1"/>
        <v>4.133333333</v>
      </c>
    </row>
    <row r="5">
      <c r="A5" s="5" t="s">
        <v>8</v>
      </c>
      <c r="B5" s="6" t="s">
        <v>9</v>
      </c>
      <c r="C5" s="7">
        <f>(335+341)-6</f>
        <v>670</v>
      </c>
      <c r="D5" s="8">
        <f>168-3</f>
        <v>165</v>
      </c>
      <c r="E5" s="7">
        <f>(5.3+4.7)-6</f>
        <v>4</v>
      </c>
      <c r="F5" s="7">
        <f>3.2-3</f>
        <v>0.2</v>
      </c>
      <c r="G5" s="7">
        <f t="shared" si="1"/>
        <v>20</v>
      </c>
      <c r="J5" s="9">
        <f>SUM(E2:E5)/4</f>
        <v>4.9</v>
      </c>
    </row>
    <row r="6">
      <c r="A6" s="5" t="s">
        <v>11</v>
      </c>
      <c r="B6" s="6" t="s">
        <v>12</v>
      </c>
      <c r="C6" s="7">
        <f>(407+323)-6</f>
        <v>724</v>
      </c>
      <c r="D6" s="7">
        <f>203-3</f>
        <v>200</v>
      </c>
      <c r="E6" s="7">
        <f>(4.7+5.1)-6</f>
        <v>3.8</v>
      </c>
      <c r="F6" s="7">
        <f>3.6-3</f>
        <v>0.6</v>
      </c>
      <c r="G6" s="7">
        <f t="shared" si="1"/>
        <v>6.333333333</v>
      </c>
      <c r="J6" s="9">
        <f>SUM(E6:E9)/4</f>
        <v>4.325</v>
      </c>
    </row>
    <row r="7">
      <c r="A7" s="5" t="s">
        <v>11</v>
      </c>
      <c r="B7" s="6" t="s">
        <v>12</v>
      </c>
      <c r="C7" s="7">
        <f>(514+490)-6</f>
        <v>998</v>
      </c>
      <c r="D7" s="7">
        <f>189-3</f>
        <v>186</v>
      </c>
      <c r="E7" s="7">
        <f>(5.3+5.1)-6</f>
        <v>4.4</v>
      </c>
      <c r="F7" s="7">
        <f t="shared" ref="F7:F8" si="2">3.2-3</f>
        <v>0.2</v>
      </c>
      <c r="G7" s="7">
        <f t="shared" si="1"/>
        <v>22</v>
      </c>
      <c r="J7" s="9">
        <f>SUM(E10:E13)/4</f>
        <v>4.85</v>
      </c>
    </row>
    <row r="8">
      <c r="A8" s="5" t="s">
        <v>11</v>
      </c>
      <c r="B8" s="6" t="s">
        <v>12</v>
      </c>
      <c r="C8" s="7">
        <f>(440+356)-6</f>
        <v>790</v>
      </c>
      <c r="D8" s="7">
        <f>104-3</f>
        <v>101</v>
      </c>
      <c r="E8" s="7">
        <f>(3.6+4.8)-6</f>
        <v>2.4</v>
      </c>
      <c r="F8" s="8">
        <f t="shared" si="2"/>
        <v>0.2</v>
      </c>
      <c r="G8" s="7">
        <f t="shared" si="1"/>
        <v>12</v>
      </c>
      <c r="J8" s="4">
        <f>SUM(E14:E16)/4</f>
        <v>4.4</v>
      </c>
    </row>
    <row r="9">
      <c r="A9" s="5" t="s">
        <v>11</v>
      </c>
      <c r="B9" s="6" t="s">
        <v>12</v>
      </c>
      <c r="C9" s="7">
        <f>(843+345)-6</f>
        <v>1182</v>
      </c>
      <c r="D9" s="7">
        <f>208-3</f>
        <v>205</v>
      </c>
      <c r="E9" s="7">
        <f>(7.1+5.6)-6</f>
        <v>6.7</v>
      </c>
      <c r="F9" s="7">
        <f t="shared" ref="F9:F10" si="3">4.1-3</f>
        <v>1.1</v>
      </c>
      <c r="G9" s="7">
        <f t="shared" si="1"/>
        <v>6.090909091</v>
      </c>
    </row>
    <row r="10">
      <c r="A10" s="5" t="s">
        <v>13</v>
      </c>
      <c r="B10" s="6" t="s">
        <v>14</v>
      </c>
      <c r="C10" s="7">
        <f>(449+437)-6</f>
        <v>880</v>
      </c>
      <c r="D10" s="7">
        <f>233-3</f>
        <v>230</v>
      </c>
      <c r="E10" s="7">
        <f>(5.9+5.2)-6</f>
        <v>5.1</v>
      </c>
      <c r="F10" s="7">
        <f t="shared" si="3"/>
        <v>1.1</v>
      </c>
      <c r="G10" s="7">
        <f t="shared" si="1"/>
        <v>4.636363636</v>
      </c>
    </row>
    <row r="11">
      <c r="A11" s="5" t="s">
        <v>13</v>
      </c>
      <c r="B11" s="6" t="s">
        <v>14</v>
      </c>
      <c r="C11" s="7">
        <f>(815+399)-6</f>
        <v>1208</v>
      </c>
      <c r="D11" s="7">
        <f>172-3</f>
        <v>169</v>
      </c>
      <c r="E11" s="7">
        <f>(5.3+6.7)-6</f>
        <v>6</v>
      </c>
      <c r="F11" s="8">
        <f>3.9-3</f>
        <v>0.9</v>
      </c>
      <c r="G11" s="7">
        <f t="shared" si="1"/>
        <v>6.666666667</v>
      </c>
      <c r="J11" s="2" t="s">
        <v>1</v>
      </c>
      <c r="K11" s="3" t="s">
        <v>15</v>
      </c>
      <c r="L11" s="3" t="s">
        <v>16</v>
      </c>
      <c r="M11" s="3" t="s">
        <v>3</v>
      </c>
      <c r="N11" s="3" t="s">
        <v>16</v>
      </c>
      <c r="O11" s="3" t="s">
        <v>17</v>
      </c>
      <c r="P11" s="3" t="s">
        <v>16</v>
      </c>
      <c r="Q11" s="3" t="s">
        <v>18</v>
      </c>
      <c r="R11" s="3" t="s">
        <v>16</v>
      </c>
      <c r="S11" s="3" t="s">
        <v>19</v>
      </c>
      <c r="T11" s="3" t="s">
        <v>16</v>
      </c>
    </row>
    <row r="12">
      <c r="A12" s="5" t="s">
        <v>13</v>
      </c>
      <c r="B12" s="6" t="s">
        <v>14</v>
      </c>
      <c r="C12" s="7">
        <f>(464+448)-6</f>
        <v>906</v>
      </c>
      <c r="D12" s="8">
        <f>202-3</f>
        <v>199</v>
      </c>
      <c r="E12" s="7">
        <f>(5+5)-6</f>
        <v>4</v>
      </c>
      <c r="F12" s="7">
        <f t="shared" ref="F12:F13" si="4">4-3</f>
        <v>1</v>
      </c>
      <c r="G12" s="7">
        <f t="shared" si="1"/>
        <v>4</v>
      </c>
      <c r="J12" s="10" t="s">
        <v>9</v>
      </c>
      <c r="K12" s="9">
        <f>SUM(C2:C5)/4</f>
        <v>905.5</v>
      </c>
      <c r="L12" s="4">
        <f>STDEV(C2:C5)/sqrt(4)</f>
        <v>96.98926057</v>
      </c>
      <c r="M12" s="9">
        <f>(SUM(D2:D5)/4)
</f>
        <v>223.5</v>
      </c>
      <c r="N12" s="9">
        <f>STDEV(D2:D5)/sqrt(4)</f>
        <v>34.32564639</v>
      </c>
      <c r="O12" s="9">
        <f>SUM(E2:E5)/4</f>
        <v>4.9</v>
      </c>
      <c r="P12" s="9">
        <f>STDEV(E2:E5)/sqrt(4)</f>
        <v>0.6177917664</v>
      </c>
      <c r="Q12" s="9">
        <f>SUM(F2:F5)/4</f>
        <v>0.825</v>
      </c>
      <c r="R12" s="9">
        <f>STDEV(F2:F5)/sqrt(4)</f>
        <v>0.3119161212</v>
      </c>
      <c r="S12" s="9">
        <f t="shared" ref="S12:S15" si="5">O12/Q12</f>
        <v>5.939393939</v>
      </c>
      <c r="T12" s="9">
        <f>STDEV(G2:G5)/sqrt(4)</f>
        <v>3.67050935</v>
      </c>
    </row>
    <row r="13">
      <c r="A13" s="5" t="s">
        <v>13</v>
      </c>
      <c r="B13" s="6" t="s">
        <v>14</v>
      </c>
      <c r="C13" s="7">
        <f>(408+610)-6</f>
        <v>1012</v>
      </c>
      <c r="D13" s="7">
        <f>222-3</f>
        <v>219</v>
      </c>
      <c r="E13" s="7">
        <f>(5.4+4.9)-6</f>
        <v>4.3</v>
      </c>
      <c r="F13" s="7">
        <f t="shared" si="4"/>
        <v>1</v>
      </c>
      <c r="G13" s="7">
        <f t="shared" si="1"/>
        <v>4.3</v>
      </c>
      <c r="J13" s="11" t="s">
        <v>12</v>
      </c>
      <c r="K13" s="9">
        <f>SUM(C6:C9)/4</f>
        <v>923.5</v>
      </c>
      <c r="L13" s="9">
        <f>STDEV(C6:C9)/sqrt(4)</f>
        <v>104.0812984</v>
      </c>
      <c r="M13" s="9">
        <f>SUM(D6:D9)/4</f>
        <v>173</v>
      </c>
      <c r="N13" s="9">
        <f>STDEV(D6:D9)/sqrt(4)</f>
        <v>24.33447486</v>
      </c>
      <c r="O13" s="9">
        <f>SUM(E6:E9)/4</f>
        <v>4.325</v>
      </c>
      <c r="P13" s="9">
        <f>STDEV(E6:E9)/sqrt(4)</f>
        <v>0.8957073555</v>
      </c>
      <c r="Q13" s="9">
        <f>SUM(F6:F9)/4</f>
        <v>0.525</v>
      </c>
      <c r="R13" s="9">
        <f>STDEV(F6:F9)/sqrt(4)</f>
        <v>0.2136000936</v>
      </c>
      <c r="S13" s="9">
        <f t="shared" si="5"/>
        <v>8.238095238</v>
      </c>
      <c r="T13" s="9">
        <f>STDEV(G6:G9)/sqrt(4)</f>
        <v>3.723883653</v>
      </c>
    </row>
    <row r="14">
      <c r="A14" s="5" t="s">
        <v>20</v>
      </c>
      <c r="B14" s="6" t="s">
        <v>21</v>
      </c>
      <c r="C14" s="7">
        <f>(665+664)-6</f>
        <v>1323</v>
      </c>
      <c r="D14" s="7">
        <f>153-3</f>
        <v>150</v>
      </c>
      <c r="E14" s="7">
        <f>(6+5.5)-6</f>
        <v>5.5</v>
      </c>
      <c r="F14" s="7">
        <f>3.7-3</f>
        <v>0.7</v>
      </c>
      <c r="G14" s="7">
        <f t="shared" si="1"/>
        <v>7.857142857</v>
      </c>
      <c r="J14" s="11" t="s">
        <v>14</v>
      </c>
      <c r="K14" s="9">
        <f>SUM(C10:C13)/4</f>
        <v>1001.5</v>
      </c>
      <c r="L14" s="9">
        <f>STDEV(C10:C13)/sqrt(4)</f>
        <v>74.51789494</v>
      </c>
      <c r="M14" s="9">
        <f>SUM(D10:D13)/4</f>
        <v>204.25</v>
      </c>
      <c r="N14" s="9">
        <f>STDEV(D10:D13)/sqrt(4)</f>
        <v>13.38764978</v>
      </c>
      <c r="O14" s="9">
        <f>SUM(E10:E13)/4</f>
        <v>4.85</v>
      </c>
      <c r="P14" s="9">
        <f>STDEV(E10:E13)/sqrt(4)</f>
        <v>0.448144322</v>
      </c>
      <c r="Q14" s="9">
        <f>SUM(F10:F13)/4</f>
        <v>1</v>
      </c>
      <c r="R14" s="9">
        <f>STDEV(F10:F13)/sqrt(4)</f>
        <v>0.04082482905</v>
      </c>
      <c r="S14" s="9">
        <f t="shared" si="5"/>
        <v>4.85</v>
      </c>
      <c r="T14" s="9">
        <f>STDEV(G10:G13)/sqrt(4)</f>
        <v>0.6028137459</v>
      </c>
    </row>
    <row r="15">
      <c r="A15" s="5" t="s">
        <v>20</v>
      </c>
      <c r="B15" s="6" t="s">
        <v>21</v>
      </c>
      <c r="C15" s="7">
        <f>(595+645)-6</f>
        <v>1234</v>
      </c>
      <c r="D15" s="7">
        <f>195-3</f>
        <v>192</v>
      </c>
      <c r="E15" s="7">
        <f>(6.5+6.2)-6</f>
        <v>6.7</v>
      </c>
      <c r="F15" s="7">
        <f>3.6-3</f>
        <v>0.6</v>
      </c>
      <c r="G15" s="7">
        <f t="shared" si="1"/>
        <v>11.16666667</v>
      </c>
      <c r="J15" s="11" t="s">
        <v>21</v>
      </c>
      <c r="K15" s="9">
        <f>SUM(C14:C16)/3</f>
        <v>1161.666667</v>
      </c>
      <c r="L15" s="9">
        <f>STDEV(C14:C16)/sqrt(3)</f>
        <v>119.6248766</v>
      </c>
      <c r="M15" s="9">
        <f>SUM(D14:D16)/3</f>
        <v>219</v>
      </c>
      <c r="N15" s="9">
        <f>STDEV(D14:D16)/sqrt(3)</f>
        <v>49.50757518</v>
      </c>
      <c r="O15" s="9">
        <f>SUM(E14:E16)/3</f>
        <v>5.866666667</v>
      </c>
      <c r="P15" s="9">
        <f>STDEV(E14:E16)/sqrt(3)</f>
        <v>0.4176654695</v>
      </c>
      <c r="Q15" s="9">
        <f>SUM(F14:F16)/3</f>
        <v>0.8666666667</v>
      </c>
      <c r="R15" s="9">
        <f>STDEV(F14:F16)/SQRT(3)</f>
        <v>0.2185812841</v>
      </c>
      <c r="S15" s="9">
        <f t="shared" si="5"/>
        <v>6.769230769</v>
      </c>
      <c r="T15" s="9">
        <f>STDEV(G14:G16)/SQRT(3)</f>
        <v>2.025490419</v>
      </c>
    </row>
    <row r="16">
      <c r="A16" s="5" t="s">
        <v>20</v>
      </c>
      <c r="B16" s="6" t="s">
        <v>21</v>
      </c>
      <c r="C16" s="7">
        <f>(476+458)-6</f>
        <v>928</v>
      </c>
      <c r="D16" s="7">
        <f>318-3</f>
        <v>315</v>
      </c>
      <c r="E16" s="7">
        <f>(5.9+5.5)-6</f>
        <v>5.4</v>
      </c>
      <c r="F16" s="7">
        <f>4.3-3</f>
        <v>1.3</v>
      </c>
      <c r="G16" s="7">
        <f t="shared" si="1"/>
        <v>4.153846154</v>
      </c>
    </row>
    <row r="17">
      <c r="L17" s="4" t="s">
        <v>22</v>
      </c>
      <c r="N17" s="4" t="s">
        <v>22</v>
      </c>
      <c r="P17" s="4" t="s">
        <v>22</v>
      </c>
      <c r="R17" s="4" t="s">
        <v>22</v>
      </c>
      <c r="T17" s="4" t="s">
        <v>22</v>
      </c>
    </row>
    <row r="18">
      <c r="L18" s="12">
        <f t="shared" ref="L18:L21" si="6">L12/K12*100</f>
        <v>10.71112762</v>
      </c>
      <c r="M18" s="12"/>
      <c r="N18" s="12">
        <f t="shared" ref="N18:N21" si="7">N12/M12*100</f>
        <v>15.35823105</v>
      </c>
      <c r="O18" s="12"/>
      <c r="P18" s="12">
        <f t="shared" ref="P18:P21" si="8">P12/O12*100</f>
        <v>12.60799523</v>
      </c>
      <c r="Q18" s="12"/>
      <c r="R18" s="12">
        <f t="shared" ref="R18:R21" si="9">R12/Q12*100</f>
        <v>37.80801469</v>
      </c>
      <c r="S18" s="12"/>
      <c r="T18" s="12">
        <f t="shared" ref="T18:T21" si="10">T12/S12*100</f>
        <v>61.79939212</v>
      </c>
    </row>
    <row r="19">
      <c r="L19" s="12">
        <f t="shared" si="6"/>
        <v>11.27030843</v>
      </c>
      <c r="M19" s="12"/>
      <c r="N19" s="12">
        <f t="shared" si="7"/>
        <v>14.06617044</v>
      </c>
      <c r="O19" s="12"/>
      <c r="P19" s="12">
        <f t="shared" si="8"/>
        <v>20.70999666</v>
      </c>
      <c r="Q19" s="12"/>
      <c r="R19" s="12">
        <f t="shared" si="9"/>
        <v>40.68573212</v>
      </c>
      <c r="S19" s="12"/>
      <c r="T19" s="12">
        <f t="shared" si="10"/>
        <v>45.20321197</v>
      </c>
    </row>
    <row r="20">
      <c r="L20" s="12">
        <f t="shared" si="6"/>
        <v>7.440628551</v>
      </c>
      <c r="M20" s="12"/>
      <c r="N20" s="12">
        <f t="shared" si="7"/>
        <v>6.554540897</v>
      </c>
      <c r="O20" s="12"/>
      <c r="P20" s="12">
        <f t="shared" si="8"/>
        <v>9.240089113</v>
      </c>
      <c r="Q20" s="12"/>
      <c r="R20" s="12">
        <f t="shared" si="9"/>
        <v>4.082482905</v>
      </c>
      <c r="S20" s="12"/>
      <c r="T20" s="12">
        <f t="shared" si="10"/>
        <v>12.4291494</v>
      </c>
    </row>
    <row r="21">
      <c r="L21" s="12">
        <f t="shared" si="6"/>
        <v>10.29769383</v>
      </c>
      <c r="M21" s="12"/>
      <c r="N21" s="12">
        <f t="shared" si="7"/>
        <v>22.60619871</v>
      </c>
      <c r="O21" s="12"/>
      <c r="P21" s="12">
        <f t="shared" si="8"/>
        <v>7.119297776</v>
      </c>
      <c r="Q21" s="12"/>
      <c r="R21" s="12">
        <f t="shared" si="9"/>
        <v>25.2209174</v>
      </c>
      <c r="S21" s="12"/>
      <c r="T21" s="12">
        <f t="shared" si="10"/>
        <v>29.92201755</v>
      </c>
    </row>
    <row r="23">
      <c r="G23" s="9">
        <f>SUM(E2:E5)/4</f>
        <v>4.9</v>
      </c>
    </row>
    <row r="24">
      <c r="G24" s="9">
        <f>SUM(E6:E9)/4</f>
        <v>4.325</v>
      </c>
      <c r="K24" s="3" t="s">
        <v>23</v>
      </c>
      <c r="L24" s="3" t="s">
        <v>24</v>
      </c>
      <c r="N24" s="4" t="s">
        <v>25</v>
      </c>
      <c r="O24" s="4" t="s">
        <v>26</v>
      </c>
    </row>
    <row r="25">
      <c r="G25" s="9">
        <f>SUM(E10:E13)/4</f>
        <v>4.85</v>
      </c>
      <c r="J25" s="10" t="s">
        <v>9</v>
      </c>
      <c r="K25" s="4">
        <v>393.36</v>
      </c>
    </row>
    <row r="26">
      <c r="G26" s="9">
        <f>SUM(E14:E16)/4</f>
        <v>4.4</v>
      </c>
      <c r="J26" s="11" t="s">
        <v>12</v>
      </c>
      <c r="K26" s="4">
        <v>448.41</v>
      </c>
      <c r="L26" s="9">
        <f>(K26/K25-1)*100</f>
        <v>13.99481391</v>
      </c>
      <c r="M26" s="4" t="s">
        <v>22</v>
      </c>
      <c r="N26" s="9">
        <f t="shared" ref="N26:N28" si="11">(K13/K12-1)*100</f>
        <v>1.987852015</v>
      </c>
      <c r="O26" s="9">
        <f t="shared" ref="O26:O28" si="12">(O13/O$12-1)*100</f>
        <v>-11.73469388</v>
      </c>
    </row>
    <row r="27">
      <c r="J27" s="11" t="s">
        <v>14</v>
      </c>
      <c r="K27" s="4">
        <v>573.32</v>
      </c>
      <c r="L27" s="9">
        <f>(K27/K25-1)*100</f>
        <v>45.74944072</v>
      </c>
      <c r="M27" s="4" t="s">
        <v>22</v>
      </c>
      <c r="N27" s="9">
        <f t="shared" si="11"/>
        <v>8.446128858</v>
      </c>
      <c r="O27" s="9">
        <f t="shared" si="12"/>
        <v>-1.020408163</v>
      </c>
    </row>
    <row r="28">
      <c r="J28" s="11" t="s">
        <v>21</v>
      </c>
      <c r="K28" s="4">
        <v>648.87</v>
      </c>
      <c r="L28" s="9">
        <f>(K28/K25-1)*100</f>
        <v>64.95576571</v>
      </c>
      <c r="M28" s="4" t="s">
        <v>22</v>
      </c>
      <c r="N28" s="9">
        <f t="shared" si="11"/>
        <v>15.99267765</v>
      </c>
      <c r="O28" s="9">
        <f t="shared" si="12"/>
        <v>19.72789116</v>
      </c>
    </row>
    <row r="32">
      <c r="A32" s="5" t="s">
        <v>20</v>
      </c>
      <c r="B32" s="6" t="s">
        <v>21</v>
      </c>
      <c r="C32" s="7">
        <f>(474+185-6)</f>
        <v>653</v>
      </c>
      <c r="D32" s="7">
        <f>187-3</f>
        <v>184</v>
      </c>
      <c r="E32" s="7">
        <f>(5.7+5.5)-6</f>
        <v>5.2</v>
      </c>
      <c r="F32" s="7">
        <f>3.5-3</f>
        <v>0.5</v>
      </c>
      <c r="G32" s="7">
        <f>E32/F32</f>
        <v>10.4</v>
      </c>
    </row>
  </sheetData>
  <drawing r:id="rId1"/>
</worksheet>
</file>